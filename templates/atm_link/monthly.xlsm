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hammad.fatir\Desktop\"/>
    </mc:Choice>
  </mc:AlternateContent>
  <xr:revisionPtr revIDLastSave="0" documentId="8_{1BA49638-CEDD-4597-B024-CC7BAFFAFD0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uto Timesheet" sheetId="2" r:id="rId1"/>
    <sheet name="Clockify Raw" sheetId="3" state="hidden" r:id="rId2"/>
    <sheet name="Clockify Helper" sheetId="4" state="hidden" r:id="rId3"/>
  </sheets>
  <calcPr calcId="191029" iterateDelta="1E-4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2" l="1"/>
  <c r="F1000" i="4"/>
  <c r="E1000" i="4"/>
  <c r="D1000" i="4"/>
  <c r="C1000" i="4"/>
  <c r="B1000" i="4"/>
  <c r="A1000" i="4"/>
  <c r="G1000" i="4" s="1"/>
  <c r="F999" i="4"/>
  <c r="E999" i="4"/>
  <c r="D999" i="4"/>
  <c r="C999" i="4"/>
  <c r="B999" i="4"/>
  <c r="A999" i="4"/>
  <c r="H999" i="4" s="1"/>
  <c r="F998" i="4"/>
  <c r="E998" i="4"/>
  <c r="D998" i="4"/>
  <c r="C998" i="4"/>
  <c r="B998" i="4"/>
  <c r="A998" i="4"/>
  <c r="F997" i="4"/>
  <c r="E997" i="4"/>
  <c r="D997" i="4"/>
  <c r="C997" i="4"/>
  <c r="B997" i="4"/>
  <c r="A997" i="4"/>
  <c r="G997" i="4" s="1"/>
  <c r="F996" i="4"/>
  <c r="E996" i="4"/>
  <c r="D996" i="4"/>
  <c r="C996" i="4"/>
  <c r="B996" i="4"/>
  <c r="A996" i="4"/>
  <c r="H996" i="4" s="1"/>
  <c r="F995" i="4"/>
  <c r="E995" i="4"/>
  <c r="D995" i="4"/>
  <c r="C995" i="4"/>
  <c r="B995" i="4"/>
  <c r="A995" i="4"/>
  <c r="F994" i="4"/>
  <c r="E994" i="4"/>
  <c r="D994" i="4"/>
  <c r="C994" i="4"/>
  <c r="B994" i="4"/>
  <c r="A994" i="4"/>
  <c r="G994" i="4" s="1"/>
  <c r="F993" i="4"/>
  <c r="E993" i="4"/>
  <c r="D993" i="4"/>
  <c r="C993" i="4"/>
  <c r="B993" i="4"/>
  <c r="A993" i="4"/>
  <c r="H993" i="4" s="1"/>
  <c r="F992" i="4"/>
  <c r="E992" i="4"/>
  <c r="D992" i="4"/>
  <c r="C992" i="4"/>
  <c r="B992" i="4"/>
  <c r="A992" i="4"/>
  <c r="F991" i="4"/>
  <c r="E991" i="4"/>
  <c r="D991" i="4"/>
  <c r="C991" i="4"/>
  <c r="B991" i="4"/>
  <c r="A991" i="4"/>
  <c r="G991" i="4" s="1"/>
  <c r="F990" i="4"/>
  <c r="E990" i="4"/>
  <c r="D990" i="4"/>
  <c r="C990" i="4"/>
  <c r="B990" i="4"/>
  <c r="A990" i="4"/>
  <c r="H990" i="4" s="1"/>
  <c r="F989" i="4"/>
  <c r="E989" i="4"/>
  <c r="D989" i="4"/>
  <c r="C989" i="4"/>
  <c r="B989" i="4"/>
  <c r="A989" i="4"/>
  <c r="F988" i="4"/>
  <c r="E988" i="4"/>
  <c r="D988" i="4"/>
  <c r="C988" i="4"/>
  <c r="B988" i="4"/>
  <c r="A988" i="4"/>
  <c r="G988" i="4" s="1"/>
  <c r="F987" i="4"/>
  <c r="E987" i="4"/>
  <c r="D987" i="4"/>
  <c r="C987" i="4"/>
  <c r="B987" i="4"/>
  <c r="A987" i="4"/>
  <c r="H987" i="4" s="1"/>
  <c r="F986" i="4"/>
  <c r="E986" i="4"/>
  <c r="D986" i="4"/>
  <c r="C986" i="4"/>
  <c r="B986" i="4"/>
  <c r="A986" i="4"/>
  <c r="F985" i="4"/>
  <c r="E985" i="4"/>
  <c r="D985" i="4"/>
  <c r="C985" i="4"/>
  <c r="B985" i="4"/>
  <c r="A985" i="4"/>
  <c r="G985" i="4" s="1"/>
  <c r="F984" i="4"/>
  <c r="E984" i="4"/>
  <c r="D984" i="4"/>
  <c r="C984" i="4"/>
  <c r="B984" i="4"/>
  <c r="A984" i="4"/>
  <c r="H984" i="4" s="1"/>
  <c r="F983" i="4"/>
  <c r="E983" i="4"/>
  <c r="D983" i="4"/>
  <c r="C983" i="4"/>
  <c r="B983" i="4"/>
  <c r="A983" i="4"/>
  <c r="F982" i="4"/>
  <c r="E982" i="4"/>
  <c r="D982" i="4"/>
  <c r="C982" i="4"/>
  <c r="B982" i="4"/>
  <c r="A982" i="4"/>
  <c r="G982" i="4" s="1"/>
  <c r="F981" i="4"/>
  <c r="E981" i="4"/>
  <c r="D981" i="4"/>
  <c r="C981" i="4"/>
  <c r="B981" i="4"/>
  <c r="A981" i="4"/>
  <c r="H981" i="4" s="1"/>
  <c r="F980" i="4"/>
  <c r="E980" i="4"/>
  <c r="D980" i="4"/>
  <c r="C980" i="4"/>
  <c r="B980" i="4"/>
  <c r="A980" i="4"/>
  <c r="F979" i="4"/>
  <c r="E979" i="4"/>
  <c r="D979" i="4"/>
  <c r="C979" i="4"/>
  <c r="B979" i="4"/>
  <c r="A979" i="4"/>
  <c r="G979" i="4" s="1"/>
  <c r="F978" i="4"/>
  <c r="E978" i="4"/>
  <c r="D978" i="4"/>
  <c r="C978" i="4"/>
  <c r="B978" i="4"/>
  <c r="A978" i="4"/>
  <c r="H978" i="4" s="1"/>
  <c r="F977" i="4"/>
  <c r="E977" i="4"/>
  <c r="D977" i="4"/>
  <c r="C977" i="4"/>
  <c r="B977" i="4"/>
  <c r="A977" i="4"/>
  <c r="F976" i="4"/>
  <c r="E976" i="4"/>
  <c r="D976" i="4"/>
  <c r="C976" i="4"/>
  <c r="B976" i="4"/>
  <c r="A976" i="4"/>
  <c r="G976" i="4" s="1"/>
  <c r="F975" i="4"/>
  <c r="E975" i="4"/>
  <c r="D975" i="4"/>
  <c r="C975" i="4"/>
  <c r="B975" i="4"/>
  <c r="A975" i="4"/>
  <c r="H975" i="4" s="1"/>
  <c r="F974" i="4"/>
  <c r="E974" i="4"/>
  <c r="D974" i="4"/>
  <c r="C974" i="4"/>
  <c r="B974" i="4"/>
  <c r="A974" i="4"/>
  <c r="F973" i="4"/>
  <c r="E973" i="4"/>
  <c r="D973" i="4"/>
  <c r="C973" i="4"/>
  <c r="B973" i="4"/>
  <c r="A973" i="4"/>
  <c r="G973" i="4" s="1"/>
  <c r="F972" i="4"/>
  <c r="E972" i="4"/>
  <c r="D972" i="4"/>
  <c r="C972" i="4"/>
  <c r="B972" i="4"/>
  <c r="A972" i="4"/>
  <c r="H972" i="4" s="1"/>
  <c r="F971" i="4"/>
  <c r="E971" i="4"/>
  <c r="D971" i="4"/>
  <c r="C971" i="4"/>
  <c r="B971" i="4"/>
  <c r="A971" i="4"/>
  <c r="F970" i="4"/>
  <c r="E970" i="4"/>
  <c r="D970" i="4"/>
  <c r="C970" i="4"/>
  <c r="B970" i="4"/>
  <c r="A970" i="4"/>
  <c r="G970" i="4" s="1"/>
  <c r="F969" i="4"/>
  <c r="E969" i="4"/>
  <c r="D969" i="4"/>
  <c r="C969" i="4"/>
  <c r="B969" i="4"/>
  <c r="A969" i="4"/>
  <c r="H969" i="4" s="1"/>
  <c r="F968" i="4"/>
  <c r="E968" i="4"/>
  <c r="D968" i="4"/>
  <c r="C968" i="4"/>
  <c r="B968" i="4"/>
  <c r="A968" i="4"/>
  <c r="F967" i="4"/>
  <c r="E967" i="4"/>
  <c r="D967" i="4"/>
  <c r="C967" i="4"/>
  <c r="B967" i="4"/>
  <c r="A967" i="4"/>
  <c r="G967" i="4" s="1"/>
  <c r="F966" i="4"/>
  <c r="E966" i="4"/>
  <c r="D966" i="4"/>
  <c r="C966" i="4"/>
  <c r="B966" i="4"/>
  <c r="A966" i="4"/>
  <c r="H966" i="4" s="1"/>
  <c r="F965" i="4"/>
  <c r="E965" i="4"/>
  <c r="D965" i="4"/>
  <c r="C965" i="4"/>
  <c r="B965" i="4"/>
  <c r="A965" i="4"/>
  <c r="F964" i="4"/>
  <c r="E964" i="4"/>
  <c r="D964" i="4"/>
  <c r="C964" i="4"/>
  <c r="B964" i="4"/>
  <c r="A964" i="4"/>
  <c r="G964" i="4" s="1"/>
  <c r="F963" i="4"/>
  <c r="E963" i="4"/>
  <c r="D963" i="4"/>
  <c r="C963" i="4"/>
  <c r="B963" i="4"/>
  <c r="A963" i="4"/>
  <c r="H963" i="4" s="1"/>
  <c r="F962" i="4"/>
  <c r="E962" i="4"/>
  <c r="D962" i="4"/>
  <c r="C962" i="4"/>
  <c r="B962" i="4"/>
  <c r="A962" i="4"/>
  <c r="F961" i="4"/>
  <c r="E961" i="4"/>
  <c r="D961" i="4"/>
  <c r="C961" i="4"/>
  <c r="B961" i="4"/>
  <c r="A961" i="4"/>
  <c r="G961" i="4" s="1"/>
  <c r="F960" i="4"/>
  <c r="E960" i="4"/>
  <c r="D960" i="4"/>
  <c r="C960" i="4"/>
  <c r="B960" i="4"/>
  <c r="A960" i="4"/>
  <c r="H960" i="4" s="1"/>
  <c r="F959" i="4"/>
  <c r="E959" i="4"/>
  <c r="D959" i="4"/>
  <c r="C959" i="4"/>
  <c r="B959" i="4"/>
  <c r="A959" i="4"/>
  <c r="F958" i="4"/>
  <c r="E958" i="4"/>
  <c r="D958" i="4"/>
  <c r="C958" i="4"/>
  <c r="B958" i="4"/>
  <c r="A958" i="4"/>
  <c r="G958" i="4" s="1"/>
  <c r="F957" i="4"/>
  <c r="E957" i="4"/>
  <c r="D957" i="4"/>
  <c r="C957" i="4"/>
  <c r="B957" i="4"/>
  <c r="A957" i="4"/>
  <c r="H957" i="4" s="1"/>
  <c r="F956" i="4"/>
  <c r="E956" i="4"/>
  <c r="D956" i="4"/>
  <c r="C956" i="4"/>
  <c r="B956" i="4"/>
  <c r="A956" i="4"/>
  <c r="F955" i="4"/>
  <c r="E955" i="4"/>
  <c r="D955" i="4"/>
  <c r="C955" i="4"/>
  <c r="B955" i="4"/>
  <c r="A955" i="4"/>
  <c r="G955" i="4" s="1"/>
  <c r="F954" i="4"/>
  <c r="E954" i="4"/>
  <c r="D954" i="4"/>
  <c r="C954" i="4"/>
  <c r="B954" i="4"/>
  <c r="A954" i="4"/>
  <c r="H954" i="4" s="1"/>
  <c r="F953" i="4"/>
  <c r="E953" i="4"/>
  <c r="D953" i="4"/>
  <c r="C953" i="4"/>
  <c r="B953" i="4"/>
  <c r="A953" i="4"/>
  <c r="F952" i="4"/>
  <c r="E952" i="4"/>
  <c r="D952" i="4"/>
  <c r="C952" i="4"/>
  <c r="B952" i="4"/>
  <c r="A952" i="4"/>
  <c r="G952" i="4" s="1"/>
  <c r="F951" i="4"/>
  <c r="E951" i="4"/>
  <c r="D951" i="4"/>
  <c r="C951" i="4"/>
  <c r="B951" i="4"/>
  <c r="A951" i="4"/>
  <c r="H951" i="4" s="1"/>
  <c r="F950" i="4"/>
  <c r="E950" i="4"/>
  <c r="D950" i="4"/>
  <c r="C950" i="4"/>
  <c r="B950" i="4"/>
  <c r="A950" i="4"/>
  <c r="F949" i="4"/>
  <c r="E949" i="4"/>
  <c r="D949" i="4"/>
  <c r="C949" i="4"/>
  <c r="B949" i="4"/>
  <c r="A949" i="4"/>
  <c r="G949" i="4" s="1"/>
  <c r="F948" i="4"/>
  <c r="E948" i="4"/>
  <c r="D948" i="4"/>
  <c r="C948" i="4"/>
  <c r="B948" i="4"/>
  <c r="A948" i="4"/>
  <c r="H948" i="4" s="1"/>
  <c r="F947" i="4"/>
  <c r="E947" i="4"/>
  <c r="D947" i="4"/>
  <c r="C947" i="4"/>
  <c r="B947" i="4"/>
  <c r="A947" i="4"/>
  <c r="F946" i="4"/>
  <c r="E946" i="4"/>
  <c r="D946" i="4"/>
  <c r="C946" i="4"/>
  <c r="B946" i="4"/>
  <c r="A946" i="4"/>
  <c r="G946" i="4" s="1"/>
  <c r="F945" i="4"/>
  <c r="E945" i="4"/>
  <c r="D945" i="4"/>
  <c r="C945" i="4"/>
  <c r="B945" i="4"/>
  <c r="A945" i="4"/>
  <c r="H945" i="4" s="1"/>
  <c r="F944" i="4"/>
  <c r="E944" i="4"/>
  <c r="D944" i="4"/>
  <c r="C944" i="4"/>
  <c r="B944" i="4"/>
  <c r="A944" i="4"/>
  <c r="F943" i="4"/>
  <c r="E943" i="4"/>
  <c r="D943" i="4"/>
  <c r="C943" i="4"/>
  <c r="B943" i="4"/>
  <c r="A943" i="4"/>
  <c r="G943" i="4" s="1"/>
  <c r="F942" i="4"/>
  <c r="E942" i="4"/>
  <c r="D942" i="4"/>
  <c r="C942" i="4"/>
  <c r="B942" i="4"/>
  <c r="A942" i="4"/>
  <c r="H942" i="4" s="1"/>
  <c r="F941" i="4"/>
  <c r="E941" i="4"/>
  <c r="D941" i="4"/>
  <c r="C941" i="4"/>
  <c r="B941" i="4"/>
  <c r="A941" i="4"/>
  <c r="F940" i="4"/>
  <c r="E940" i="4"/>
  <c r="D940" i="4"/>
  <c r="C940" i="4"/>
  <c r="B940" i="4"/>
  <c r="A940" i="4"/>
  <c r="G940" i="4" s="1"/>
  <c r="F939" i="4"/>
  <c r="E939" i="4"/>
  <c r="D939" i="4"/>
  <c r="C939" i="4"/>
  <c r="B939" i="4"/>
  <c r="A939" i="4"/>
  <c r="H939" i="4" s="1"/>
  <c r="F938" i="4"/>
  <c r="E938" i="4"/>
  <c r="D938" i="4"/>
  <c r="C938" i="4"/>
  <c r="B938" i="4"/>
  <c r="A938" i="4"/>
  <c r="F937" i="4"/>
  <c r="E937" i="4"/>
  <c r="D937" i="4"/>
  <c r="C937" i="4"/>
  <c r="B937" i="4"/>
  <c r="A937" i="4"/>
  <c r="G937" i="4" s="1"/>
  <c r="F936" i="4"/>
  <c r="E936" i="4"/>
  <c r="D936" i="4"/>
  <c r="C936" i="4"/>
  <c r="B936" i="4"/>
  <c r="A936" i="4"/>
  <c r="H936" i="4" s="1"/>
  <c r="F935" i="4"/>
  <c r="E935" i="4"/>
  <c r="D935" i="4"/>
  <c r="C935" i="4"/>
  <c r="B935" i="4"/>
  <c r="A935" i="4"/>
  <c r="F934" i="4"/>
  <c r="E934" i="4"/>
  <c r="D934" i="4"/>
  <c r="C934" i="4"/>
  <c r="B934" i="4"/>
  <c r="A934" i="4"/>
  <c r="G934" i="4" s="1"/>
  <c r="F933" i="4"/>
  <c r="E933" i="4"/>
  <c r="D933" i="4"/>
  <c r="C933" i="4"/>
  <c r="B933" i="4"/>
  <c r="A933" i="4"/>
  <c r="H933" i="4" s="1"/>
  <c r="F932" i="4"/>
  <c r="E932" i="4"/>
  <c r="D932" i="4"/>
  <c r="C932" i="4"/>
  <c r="B932" i="4"/>
  <c r="A932" i="4"/>
  <c r="F931" i="4"/>
  <c r="E931" i="4"/>
  <c r="D931" i="4"/>
  <c r="C931" i="4"/>
  <c r="B931" i="4"/>
  <c r="A931" i="4"/>
  <c r="G931" i="4" s="1"/>
  <c r="F930" i="4"/>
  <c r="E930" i="4"/>
  <c r="D930" i="4"/>
  <c r="C930" i="4"/>
  <c r="B930" i="4"/>
  <c r="A930" i="4"/>
  <c r="H930" i="4" s="1"/>
  <c r="F929" i="4"/>
  <c r="E929" i="4"/>
  <c r="D929" i="4"/>
  <c r="C929" i="4"/>
  <c r="B929" i="4"/>
  <c r="A929" i="4"/>
  <c r="F928" i="4"/>
  <c r="E928" i="4"/>
  <c r="D928" i="4"/>
  <c r="C928" i="4"/>
  <c r="B928" i="4"/>
  <c r="A928" i="4"/>
  <c r="G928" i="4" s="1"/>
  <c r="F927" i="4"/>
  <c r="E927" i="4"/>
  <c r="D927" i="4"/>
  <c r="C927" i="4"/>
  <c r="B927" i="4"/>
  <c r="A927" i="4"/>
  <c r="H927" i="4" s="1"/>
  <c r="F926" i="4"/>
  <c r="E926" i="4"/>
  <c r="D926" i="4"/>
  <c r="C926" i="4"/>
  <c r="B926" i="4"/>
  <c r="A926" i="4"/>
  <c r="F925" i="4"/>
  <c r="E925" i="4"/>
  <c r="D925" i="4"/>
  <c r="C925" i="4"/>
  <c r="B925" i="4"/>
  <c r="A925" i="4"/>
  <c r="G925" i="4" s="1"/>
  <c r="F924" i="4"/>
  <c r="E924" i="4"/>
  <c r="D924" i="4"/>
  <c r="C924" i="4"/>
  <c r="B924" i="4"/>
  <c r="A924" i="4"/>
  <c r="H924" i="4" s="1"/>
  <c r="F923" i="4"/>
  <c r="E923" i="4"/>
  <c r="D923" i="4"/>
  <c r="C923" i="4"/>
  <c r="B923" i="4"/>
  <c r="A923" i="4"/>
  <c r="F922" i="4"/>
  <c r="E922" i="4"/>
  <c r="D922" i="4"/>
  <c r="C922" i="4"/>
  <c r="B922" i="4"/>
  <c r="A922" i="4"/>
  <c r="G922" i="4" s="1"/>
  <c r="F921" i="4"/>
  <c r="E921" i="4"/>
  <c r="D921" i="4"/>
  <c r="C921" i="4"/>
  <c r="B921" i="4"/>
  <c r="A921" i="4"/>
  <c r="H921" i="4" s="1"/>
  <c r="F920" i="4"/>
  <c r="E920" i="4"/>
  <c r="D920" i="4"/>
  <c r="C920" i="4"/>
  <c r="B920" i="4"/>
  <c r="A920" i="4"/>
  <c r="F919" i="4"/>
  <c r="E919" i="4"/>
  <c r="D919" i="4"/>
  <c r="C919" i="4"/>
  <c r="B919" i="4"/>
  <c r="A919" i="4"/>
  <c r="G919" i="4" s="1"/>
  <c r="F918" i="4"/>
  <c r="E918" i="4"/>
  <c r="D918" i="4"/>
  <c r="C918" i="4"/>
  <c r="B918" i="4"/>
  <c r="A918" i="4"/>
  <c r="H918" i="4" s="1"/>
  <c r="F917" i="4"/>
  <c r="E917" i="4"/>
  <c r="D917" i="4"/>
  <c r="C917" i="4"/>
  <c r="B917" i="4"/>
  <c r="A917" i="4"/>
  <c r="F916" i="4"/>
  <c r="E916" i="4"/>
  <c r="D916" i="4"/>
  <c r="C916" i="4"/>
  <c r="B916" i="4"/>
  <c r="A916" i="4"/>
  <c r="G916" i="4" s="1"/>
  <c r="F915" i="4"/>
  <c r="E915" i="4"/>
  <c r="D915" i="4"/>
  <c r="C915" i="4"/>
  <c r="B915" i="4"/>
  <c r="A915" i="4"/>
  <c r="H915" i="4" s="1"/>
  <c r="F914" i="4"/>
  <c r="E914" i="4"/>
  <c r="D914" i="4"/>
  <c r="C914" i="4"/>
  <c r="B914" i="4"/>
  <c r="A914" i="4"/>
  <c r="F913" i="4"/>
  <c r="E913" i="4"/>
  <c r="D913" i="4"/>
  <c r="C913" i="4"/>
  <c r="B913" i="4"/>
  <c r="A913" i="4"/>
  <c r="G913" i="4" s="1"/>
  <c r="F912" i="4"/>
  <c r="E912" i="4"/>
  <c r="D912" i="4"/>
  <c r="C912" i="4"/>
  <c r="B912" i="4"/>
  <c r="A912" i="4"/>
  <c r="H912" i="4" s="1"/>
  <c r="F911" i="4"/>
  <c r="E911" i="4"/>
  <c r="D911" i="4"/>
  <c r="C911" i="4"/>
  <c r="B911" i="4"/>
  <c r="A911" i="4"/>
  <c r="F910" i="4"/>
  <c r="E910" i="4"/>
  <c r="D910" i="4"/>
  <c r="C910" i="4"/>
  <c r="B910" i="4"/>
  <c r="A910" i="4"/>
  <c r="G910" i="4" s="1"/>
  <c r="F909" i="4"/>
  <c r="E909" i="4"/>
  <c r="D909" i="4"/>
  <c r="C909" i="4"/>
  <c r="B909" i="4"/>
  <c r="A909" i="4"/>
  <c r="H909" i="4" s="1"/>
  <c r="F908" i="4"/>
  <c r="E908" i="4"/>
  <c r="D908" i="4"/>
  <c r="C908" i="4"/>
  <c r="B908" i="4"/>
  <c r="A908" i="4"/>
  <c r="F907" i="4"/>
  <c r="E907" i="4"/>
  <c r="D907" i="4"/>
  <c r="C907" i="4"/>
  <c r="B907" i="4"/>
  <c r="A907" i="4"/>
  <c r="G907" i="4" s="1"/>
  <c r="F906" i="4"/>
  <c r="E906" i="4"/>
  <c r="D906" i="4"/>
  <c r="C906" i="4"/>
  <c r="B906" i="4"/>
  <c r="A906" i="4"/>
  <c r="H906" i="4" s="1"/>
  <c r="F905" i="4"/>
  <c r="E905" i="4"/>
  <c r="D905" i="4"/>
  <c r="C905" i="4"/>
  <c r="B905" i="4"/>
  <c r="A905" i="4"/>
  <c r="F904" i="4"/>
  <c r="E904" i="4"/>
  <c r="D904" i="4"/>
  <c r="C904" i="4"/>
  <c r="B904" i="4"/>
  <c r="A904" i="4"/>
  <c r="G904" i="4" s="1"/>
  <c r="F903" i="4"/>
  <c r="E903" i="4"/>
  <c r="D903" i="4"/>
  <c r="C903" i="4"/>
  <c r="B903" i="4"/>
  <c r="A903" i="4"/>
  <c r="F902" i="4"/>
  <c r="E902" i="4"/>
  <c r="D902" i="4"/>
  <c r="C902" i="4"/>
  <c r="B902" i="4"/>
  <c r="A902" i="4"/>
  <c r="F901" i="4"/>
  <c r="E901" i="4"/>
  <c r="D901" i="4"/>
  <c r="C901" i="4"/>
  <c r="B901" i="4"/>
  <c r="A901" i="4"/>
  <c r="G901" i="4" s="1"/>
  <c r="F900" i="4"/>
  <c r="E900" i="4"/>
  <c r="D900" i="4"/>
  <c r="C900" i="4"/>
  <c r="B900" i="4"/>
  <c r="A900" i="4"/>
  <c r="F899" i="4"/>
  <c r="E899" i="4"/>
  <c r="D899" i="4"/>
  <c r="C899" i="4"/>
  <c r="B899" i="4"/>
  <c r="A899" i="4"/>
  <c r="F898" i="4"/>
  <c r="E898" i="4"/>
  <c r="D898" i="4"/>
  <c r="C898" i="4"/>
  <c r="B898" i="4"/>
  <c r="A898" i="4"/>
  <c r="G898" i="4" s="1"/>
  <c r="F897" i="4"/>
  <c r="E897" i="4"/>
  <c r="D897" i="4"/>
  <c r="C897" i="4"/>
  <c r="B897" i="4"/>
  <c r="A897" i="4"/>
  <c r="F896" i="4"/>
  <c r="E896" i="4"/>
  <c r="D896" i="4"/>
  <c r="C896" i="4"/>
  <c r="B896" i="4"/>
  <c r="A896" i="4"/>
  <c r="F895" i="4"/>
  <c r="E895" i="4"/>
  <c r="D895" i="4"/>
  <c r="C895" i="4"/>
  <c r="B895" i="4"/>
  <c r="A895" i="4"/>
  <c r="G895" i="4" s="1"/>
  <c r="F894" i="4"/>
  <c r="E894" i="4"/>
  <c r="D894" i="4"/>
  <c r="C894" i="4"/>
  <c r="B894" i="4"/>
  <c r="A894" i="4"/>
  <c r="F893" i="4"/>
  <c r="E893" i="4"/>
  <c r="D893" i="4"/>
  <c r="C893" i="4"/>
  <c r="B893" i="4"/>
  <c r="A893" i="4"/>
  <c r="F892" i="4"/>
  <c r="E892" i="4"/>
  <c r="D892" i="4"/>
  <c r="C892" i="4"/>
  <c r="B892" i="4"/>
  <c r="A892" i="4"/>
  <c r="G892" i="4" s="1"/>
  <c r="F891" i="4"/>
  <c r="E891" i="4"/>
  <c r="D891" i="4"/>
  <c r="C891" i="4"/>
  <c r="B891" i="4"/>
  <c r="A891" i="4"/>
  <c r="F890" i="4"/>
  <c r="E890" i="4"/>
  <c r="D890" i="4"/>
  <c r="C890" i="4"/>
  <c r="B890" i="4"/>
  <c r="A890" i="4"/>
  <c r="F889" i="4"/>
  <c r="E889" i="4"/>
  <c r="D889" i="4"/>
  <c r="C889" i="4"/>
  <c r="B889" i="4"/>
  <c r="A889" i="4"/>
  <c r="G889" i="4" s="1"/>
  <c r="F888" i="4"/>
  <c r="E888" i="4"/>
  <c r="D888" i="4"/>
  <c r="C888" i="4"/>
  <c r="B888" i="4"/>
  <c r="A888" i="4"/>
  <c r="F887" i="4"/>
  <c r="E887" i="4"/>
  <c r="D887" i="4"/>
  <c r="C887" i="4"/>
  <c r="B887" i="4"/>
  <c r="A887" i="4"/>
  <c r="F886" i="4"/>
  <c r="E886" i="4"/>
  <c r="D886" i="4"/>
  <c r="C886" i="4"/>
  <c r="B886" i="4"/>
  <c r="A886" i="4"/>
  <c r="G886" i="4" s="1"/>
  <c r="F885" i="4"/>
  <c r="E885" i="4"/>
  <c r="D885" i="4"/>
  <c r="C885" i="4"/>
  <c r="B885" i="4"/>
  <c r="A885" i="4"/>
  <c r="F884" i="4"/>
  <c r="E884" i="4"/>
  <c r="D884" i="4"/>
  <c r="C884" i="4"/>
  <c r="B884" i="4"/>
  <c r="A884" i="4"/>
  <c r="F883" i="4"/>
  <c r="E883" i="4"/>
  <c r="D883" i="4"/>
  <c r="C883" i="4"/>
  <c r="B883" i="4"/>
  <c r="A883" i="4"/>
  <c r="G883" i="4" s="1"/>
  <c r="F882" i="4"/>
  <c r="E882" i="4"/>
  <c r="D882" i="4"/>
  <c r="C882" i="4"/>
  <c r="B882" i="4"/>
  <c r="A882" i="4"/>
  <c r="F881" i="4"/>
  <c r="E881" i="4"/>
  <c r="D881" i="4"/>
  <c r="C881" i="4"/>
  <c r="B881" i="4"/>
  <c r="A881" i="4"/>
  <c r="F880" i="4"/>
  <c r="E880" i="4"/>
  <c r="D880" i="4"/>
  <c r="C880" i="4"/>
  <c r="B880" i="4"/>
  <c r="A880" i="4"/>
  <c r="G880" i="4" s="1"/>
  <c r="F879" i="4"/>
  <c r="E879" i="4"/>
  <c r="D879" i="4"/>
  <c r="C879" i="4"/>
  <c r="B879" i="4"/>
  <c r="A879" i="4"/>
  <c r="F878" i="4"/>
  <c r="E878" i="4"/>
  <c r="D878" i="4"/>
  <c r="C878" i="4"/>
  <c r="B878" i="4"/>
  <c r="A878" i="4"/>
  <c r="F877" i="4"/>
  <c r="E877" i="4"/>
  <c r="D877" i="4"/>
  <c r="C877" i="4"/>
  <c r="B877" i="4"/>
  <c r="A877" i="4"/>
  <c r="G877" i="4" s="1"/>
  <c r="F876" i="4"/>
  <c r="E876" i="4"/>
  <c r="D876" i="4"/>
  <c r="C876" i="4"/>
  <c r="B876" i="4"/>
  <c r="A876" i="4"/>
  <c r="F875" i="4"/>
  <c r="E875" i="4"/>
  <c r="D875" i="4"/>
  <c r="C875" i="4"/>
  <c r="B875" i="4"/>
  <c r="A875" i="4"/>
  <c r="F874" i="4"/>
  <c r="E874" i="4"/>
  <c r="D874" i="4"/>
  <c r="C874" i="4"/>
  <c r="B874" i="4"/>
  <c r="A874" i="4"/>
  <c r="G874" i="4" s="1"/>
  <c r="F873" i="4"/>
  <c r="E873" i="4"/>
  <c r="D873" i="4"/>
  <c r="C873" i="4"/>
  <c r="B873" i="4"/>
  <c r="A873" i="4"/>
  <c r="F872" i="4"/>
  <c r="E872" i="4"/>
  <c r="D872" i="4"/>
  <c r="C872" i="4"/>
  <c r="B872" i="4"/>
  <c r="A872" i="4"/>
  <c r="F871" i="4"/>
  <c r="E871" i="4"/>
  <c r="D871" i="4"/>
  <c r="C871" i="4"/>
  <c r="B871" i="4"/>
  <c r="A871" i="4"/>
  <c r="G871" i="4" s="1"/>
  <c r="F870" i="4"/>
  <c r="E870" i="4"/>
  <c r="D870" i="4"/>
  <c r="C870" i="4"/>
  <c r="B870" i="4"/>
  <c r="A870" i="4"/>
  <c r="F869" i="4"/>
  <c r="E869" i="4"/>
  <c r="D869" i="4"/>
  <c r="C869" i="4"/>
  <c r="B869" i="4"/>
  <c r="A869" i="4"/>
  <c r="F868" i="4"/>
  <c r="E868" i="4"/>
  <c r="D868" i="4"/>
  <c r="C868" i="4"/>
  <c r="B868" i="4"/>
  <c r="A868" i="4"/>
  <c r="G868" i="4" s="1"/>
  <c r="F867" i="4"/>
  <c r="E867" i="4"/>
  <c r="D867" i="4"/>
  <c r="C867" i="4"/>
  <c r="B867" i="4"/>
  <c r="A867" i="4"/>
  <c r="F866" i="4"/>
  <c r="E866" i="4"/>
  <c r="D866" i="4"/>
  <c r="C866" i="4"/>
  <c r="B866" i="4"/>
  <c r="A866" i="4"/>
  <c r="F865" i="4"/>
  <c r="E865" i="4"/>
  <c r="D865" i="4"/>
  <c r="C865" i="4"/>
  <c r="B865" i="4"/>
  <c r="A865" i="4"/>
  <c r="G865" i="4" s="1"/>
  <c r="F864" i="4"/>
  <c r="E864" i="4"/>
  <c r="D864" i="4"/>
  <c r="C864" i="4"/>
  <c r="B864" i="4"/>
  <c r="A864" i="4"/>
  <c r="F863" i="4"/>
  <c r="E863" i="4"/>
  <c r="D863" i="4"/>
  <c r="C863" i="4"/>
  <c r="B863" i="4"/>
  <c r="A863" i="4"/>
  <c r="F862" i="4"/>
  <c r="E862" i="4"/>
  <c r="D862" i="4"/>
  <c r="C862" i="4"/>
  <c r="B862" i="4"/>
  <c r="A862" i="4"/>
  <c r="G862" i="4" s="1"/>
  <c r="F861" i="4"/>
  <c r="E861" i="4"/>
  <c r="D861" i="4"/>
  <c r="C861" i="4"/>
  <c r="B861" i="4"/>
  <c r="A861" i="4"/>
  <c r="F860" i="4"/>
  <c r="E860" i="4"/>
  <c r="D860" i="4"/>
  <c r="C860" i="4"/>
  <c r="B860" i="4"/>
  <c r="A860" i="4"/>
  <c r="F859" i="4"/>
  <c r="E859" i="4"/>
  <c r="D859" i="4"/>
  <c r="C859" i="4"/>
  <c r="B859" i="4"/>
  <c r="A859" i="4"/>
  <c r="G859" i="4" s="1"/>
  <c r="F858" i="4"/>
  <c r="E858" i="4"/>
  <c r="D858" i="4"/>
  <c r="C858" i="4"/>
  <c r="B858" i="4"/>
  <c r="A858" i="4"/>
  <c r="F857" i="4"/>
  <c r="E857" i="4"/>
  <c r="D857" i="4"/>
  <c r="C857" i="4"/>
  <c r="B857" i="4"/>
  <c r="A857" i="4"/>
  <c r="F856" i="4"/>
  <c r="E856" i="4"/>
  <c r="D856" i="4"/>
  <c r="C856" i="4"/>
  <c r="B856" i="4"/>
  <c r="A856" i="4"/>
  <c r="G856" i="4" s="1"/>
  <c r="F855" i="4"/>
  <c r="E855" i="4"/>
  <c r="D855" i="4"/>
  <c r="C855" i="4"/>
  <c r="B855" i="4"/>
  <c r="A855" i="4"/>
  <c r="F854" i="4"/>
  <c r="E854" i="4"/>
  <c r="D854" i="4"/>
  <c r="C854" i="4"/>
  <c r="B854" i="4"/>
  <c r="A854" i="4"/>
  <c r="F853" i="4"/>
  <c r="E853" i="4"/>
  <c r="D853" i="4"/>
  <c r="C853" i="4"/>
  <c r="B853" i="4"/>
  <c r="A853" i="4"/>
  <c r="G853" i="4" s="1"/>
  <c r="F852" i="4"/>
  <c r="E852" i="4"/>
  <c r="D852" i="4"/>
  <c r="C852" i="4"/>
  <c r="B852" i="4"/>
  <c r="A852" i="4"/>
  <c r="F851" i="4"/>
  <c r="E851" i="4"/>
  <c r="D851" i="4"/>
  <c r="C851" i="4"/>
  <c r="B851" i="4"/>
  <c r="A851" i="4"/>
  <c r="F850" i="4"/>
  <c r="E850" i="4"/>
  <c r="D850" i="4"/>
  <c r="C850" i="4"/>
  <c r="B850" i="4"/>
  <c r="A850" i="4"/>
  <c r="G850" i="4" s="1"/>
  <c r="F849" i="4"/>
  <c r="E849" i="4"/>
  <c r="D849" i="4"/>
  <c r="C849" i="4"/>
  <c r="B849" i="4"/>
  <c r="A849" i="4"/>
  <c r="F848" i="4"/>
  <c r="E848" i="4"/>
  <c r="D848" i="4"/>
  <c r="C848" i="4"/>
  <c r="B848" i="4"/>
  <c r="A848" i="4"/>
  <c r="F847" i="4"/>
  <c r="E847" i="4"/>
  <c r="D847" i="4"/>
  <c r="C847" i="4"/>
  <c r="B847" i="4"/>
  <c r="A847" i="4"/>
  <c r="G847" i="4" s="1"/>
  <c r="F846" i="4"/>
  <c r="E846" i="4"/>
  <c r="D846" i="4"/>
  <c r="C846" i="4"/>
  <c r="B846" i="4"/>
  <c r="A846" i="4"/>
  <c r="F845" i="4"/>
  <c r="E845" i="4"/>
  <c r="D845" i="4"/>
  <c r="C845" i="4"/>
  <c r="B845" i="4"/>
  <c r="A845" i="4"/>
  <c r="F844" i="4"/>
  <c r="E844" i="4"/>
  <c r="D844" i="4"/>
  <c r="C844" i="4"/>
  <c r="B844" i="4"/>
  <c r="A844" i="4"/>
  <c r="G844" i="4" s="1"/>
  <c r="F843" i="4"/>
  <c r="E843" i="4"/>
  <c r="D843" i="4"/>
  <c r="C843" i="4"/>
  <c r="B843" i="4"/>
  <c r="A843" i="4"/>
  <c r="F842" i="4"/>
  <c r="E842" i="4"/>
  <c r="D842" i="4"/>
  <c r="C842" i="4"/>
  <c r="B842" i="4"/>
  <c r="A842" i="4"/>
  <c r="F841" i="4"/>
  <c r="E841" i="4"/>
  <c r="D841" i="4"/>
  <c r="C841" i="4"/>
  <c r="B841" i="4"/>
  <c r="A841" i="4"/>
  <c r="G841" i="4" s="1"/>
  <c r="F840" i="4"/>
  <c r="E840" i="4"/>
  <c r="D840" i="4"/>
  <c r="C840" i="4"/>
  <c r="B840" i="4"/>
  <c r="A840" i="4"/>
  <c r="F839" i="4"/>
  <c r="E839" i="4"/>
  <c r="D839" i="4"/>
  <c r="C839" i="4"/>
  <c r="B839" i="4"/>
  <c r="A839" i="4"/>
  <c r="F838" i="4"/>
  <c r="E838" i="4"/>
  <c r="D838" i="4"/>
  <c r="C838" i="4"/>
  <c r="B838" i="4"/>
  <c r="A838" i="4"/>
  <c r="G838" i="4" s="1"/>
  <c r="F837" i="4"/>
  <c r="E837" i="4"/>
  <c r="D837" i="4"/>
  <c r="C837" i="4"/>
  <c r="B837" i="4"/>
  <c r="A837" i="4"/>
  <c r="F836" i="4"/>
  <c r="E836" i="4"/>
  <c r="D836" i="4"/>
  <c r="C836" i="4"/>
  <c r="B836" i="4"/>
  <c r="A836" i="4"/>
  <c r="F835" i="4"/>
  <c r="E835" i="4"/>
  <c r="D835" i="4"/>
  <c r="C835" i="4"/>
  <c r="B835" i="4"/>
  <c r="A835" i="4"/>
  <c r="G835" i="4" s="1"/>
  <c r="F834" i="4"/>
  <c r="E834" i="4"/>
  <c r="D834" i="4"/>
  <c r="C834" i="4"/>
  <c r="B834" i="4"/>
  <c r="A834" i="4"/>
  <c r="F833" i="4"/>
  <c r="E833" i="4"/>
  <c r="D833" i="4"/>
  <c r="C833" i="4"/>
  <c r="B833" i="4"/>
  <c r="A833" i="4"/>
  <c r="F832" i="4"/>
  <c r="E832" i="4"/>
  <c r="D832" i="4"/>
  <c r="C832" i="4"/>
  <c r="B832" i="4"/>
  <c r="A832" i="4"/>
  <c r="G832" i="4" s="1"/>
  <c r="F831" i="4"/>
  <c r="E831" i="4"/>
  <c r="D831" i="4"/>
  <c r="C831" i="4"/>
  <c r="B831" i="4"/>
  <c r="A831" i="4"/>
  <c r="F830" i="4"/>
  <c r="E830" i="4"/>
  <c r="D830" i="4"/>
  <c r="C830" i="4"/>
  <c r="B830" i="4"/>
  <c r="A830" i="4"/>
  <c r="F829" i="4"/>
  <c r="E829" i="4"/>
  <c r="D829" i="4"/>
  <c r="C829" i="4"/>
  <c r="B829" i="4"/>
  <c r="A829" i="4"/>
  <c r="G829" i="4" s="1"/>
  <c r="F828" i="4"/>
  <c r="E828" i="4"/>
  <c r="D828" i="4"/>
  <c r="C828" i="4"/>
  <c r="B828" i="4"/>
  <c r="A828" i="4"/>
  <c r="F827" i="4"/>
  <c r="E827" i="4"/>
  <c r="D827" i="4"/>
  <c r="C827" i="4"/>
  <c r="B827" i="4"/>
  <c r="A827" i="4"/>
  <c r="G827" i="4" s="1"/>
  <c r="F826" i="4"/>
  <c r="E826" i="4"/>
  <c r="D826" i="4"/>
  <c r="C826" i="4"/>
  <c r="B826" i="4"/>
  <c r="A826" i="4"/>
  <c r="G826" i="4" s="1"/>
  <c r="F825" i="4"/>
  <c r="E825" i="4"/>
  <c r="D825" i="4"/>
  <c r="C825" i="4"/>
  <c r="B825" i="4"/>
  <c r="A825" i="4"/>
  <c r="F824" i="4"/>
  <c r="E824" i="4"/>
  <c r="D824" i="4"/>
  <c r="C824" i="4"/>
  <c r="B824" i="4"/>
  <c r="A824" i="4"/>
  <c r="G824" i="4" s="1"/>
  <c r="F823" i="4"/>
  <c r="E823" i="4"/>
  <c r="D823" i="4"/>
  <c r="C823" i="4"/>
  <c r="B823" i="4"/>
  <c r="A823" i="4"/>
  <c r="G823" i="4" s="1"/>
  <c r="F822" i="4"/>
  <c r="E822" i="4"/>
  <c r="D822" i="4"/>
  <c r="C822" i="4"/>
  <c r="B822" i="4"/>
  <c r="A822" i="4"/>
  <c r="F821" i="4"/>
  <c r="E821" i="4"/>
  <c r="D821" i="4"/>
  <c r="C821" i="4"/>
  <c r="B821" i="4"/>
  <c r="A821" i="4"/>
  <c r="G821" i="4" s="1"/>
  <c r="F820" i="4"/>
  <c r="E820" i="4"/>
  <c r="D820" i="4"/>
  <c r="C820" i="4"/>
  <c r="B820" i="4"/>
  <c r="A820" i="4"/>
  <c r="G820" i="4" s="1"/>
  <c r="F819" i="4"/>
  <c r="E819" i="4"/>
  <c r="D819" i="4"/>
  <c r="C819" i="4"/>
  <c r="B819" i="4"/>
  <c r="A819" i="4"/>
  <c r="H819" i="4" s="1"/>
  <c r="F818" i="4"/>
  <c r="E818" i="4"/>
  <c r="D818" i="4"/>
  <c r="C818" i="4"/>
  <c r="B818" i="4"/>
  <c r="A818" i="4"/>
  <c r="F817" i="4"/>
  <c r="E817" i="4"/>
  <c r="D817" i="4"/>
  <c r="C817" i="4"/>
  <c r="B817" i="4"/>
  <c r="A817" i="4"/>
  <c r="G817" i="4" s="1"/>
  <c r="F816" i="4"/>
  <c r="E816" i="4"/>
  <c r="D816" i="4"/>
  <c r="C816" i="4"/>
  <c r="B816" i="4"/>
  <c r="A816" i="4"/>
  <c r="H816" i="4" s="1"/>
  <c r="F815" i="4"/>
  <c r="E815" i="4"/>
  <c r="D815" i="4"/>
  <c r="C815" i="4"/>
  <c r="B815" i="4"/>
  <c r="A815" i="4"/>
  <c r="G815" i="4" s="1"/>
  <c r="F814" i="4"/>
  <c r="E814" i="4"/>
  <c r="D814" i="4"/>
  <c r="C814" i="4"/>
  <c r="B814" i="4"/>
  <c r="A814" i="4"/>
  <c r="G814" i="4" s="1"/>
  <c r="F813" i="4"/>
  <c r="E813" i="4"/>
  <c r="D813" i="4"/>
  <c r="C813" i="4"/>
  <c r="B813" i="4"/>
  <c r="A813" i="4"/>
  <c r="H813" i="4" s="1"/>
  <c r="F812" i="4"/>
  <c r="E812" i="4"/>
  <c r="D812" i="4"/>
  <c r="C812" i="4"/>
  <c r="B812" i="4"/>
  <c r="A812" i="4"/>
  <c r="G812" i="4" s="1"/>
  <c r="F811" i="4"/>
  <c r="E811" i="4"/>
  <c r="D811" i="4"/>
  <c r="C811" i="4"/>
  <c r="B811" i="4"/>
  <c r="A811" i="4"/>
  <c r="G811" i="4" s="1"/>
  <c r="F810" i="4"/>
  <c r="E810" i="4"/>
  <c r="D810" i="4"/>
  <c r="C810" i="4"/>
  <c r="B810" i="4"/>
  <c r="A810" i="4"/>
  <c r="H810" i="4" s="1"/>
  <c r="F809" i="4"/>
  <c r="E809" i="4"/>
  <c r="D809" i="4"/>
  <c r="C809" i="4"/>
  <c r="B809" i="4"/>
  <c r="A809" i="4"/>
  <c r="H809" i="4" s="1"/>
  <c r="F808" i="4"/>
  <c r="E808" i="4"/>
  <c r="D808" i="4"/>
  <c r="C808" i="4"/>
  <c r="B808" i="4"/>
  <c r="A808" i="4"/>
  <c r="F807" i="4"/>
  <c r="E807" i="4"/>
  <c r="D807" i="4"/>
  <c r="C807" i="4"/>
  <c r="B807" i="4"/>
  <c r="A807" i="4"/>
  <c r="H807" i="4" s="1"/>
  <c r="F806" i="4"/>
  <c r="E806" i="4"/>
  <c r="D806" i="4"/>
  <c r="C806" i="4"/>
  <c r="B806" i="4"/>
  <c r="A806" i="4"/>
  <c r="H806" i="4" s="1"/>
  <c r="F805" i="4"/>
  <c r="E805" i="4"/>
  <c r="D805" i="4"/>
  <c r="C805" i="4"/>
  <c r="B805" i="4"/>
  <c r="A805" i="4"/>
  <c r="G805" i="4" s="1"/>
  <c r="F804" i="4"/>
  <c r="E804" i="4"/>
  <c r="D804" i="4"/>
  <c r="C804" i="4"/>
  <c r="B804" i="4"/>
  <c r="A804" i="4"/>
  <c r="H804" i="4" s="1"/>
  <c r="F803" i="4"/>
  <c r="E803" i="4"/>
  <c r="D803" i="4"/>
  <c r="C803" i="4"/>
  <c r="B803" i="4"/>
  <c r="A803" i="4"/>
  <c r="H803" i="4" s="1"/>
  <c r="F802" i="4"/>
  <c r="E802" i="4"/>
  <c r="D802" i="4"/>
  <c r="C802" i="4"/>
  <c r="B802" i="4"/>
  <c r="A802" i="4"/>
  <c r="G802" i="4" s="1"/>
  <c r="F801" i="4"/>
  <c r="E801" i="4"/>
  <c r="D801" i="4"/>
  <c r="C801" i="4"/>
  <c r="B801" i="4"/>
  <c r="A801" i="4"/>
  <c r="H801" i="4" s="1"/>
  <c r="F800" i="4"/>
  <c r="E800" i="4"/>
  <c r="D800" i="4"/>
  <c r="C800" i="4"/>
  <c r="B800" i="4"/>
  <c r="A800" i="4"/>
  <c r="H800" i="4" s="1"/>
  <c r="F799" i="4"/>
  <c r="E799" i="4"/>
  <c r="D799" i="4"/>
  <c r="C799" i="4"/>
  <c r="B799" i="4"/>
  <c r="A799" i="4"/>
  <c r="G799" i="4" s="1"/>
  <c r="F798" i="4"/>
  <c r="E798" i="4"/>
  <c r="D798" i="4"/>
  <c r="C798" i="4"/>
  <c r="B798" i="4"/>
  <c r="A798" i="4"/>
  <c r="H798" i="4" s="1"/>
  <c r="F797" i="4"/>
  <c r="E797" i="4"/>
  <c r="D797" i="4"/>
  <c r="C797" i="4"/>
  <c r="B797" i="4"/>
  <c r="A797" i="4"/>
  <c r="H797" i="4" s="1"/>
  <c r="F796" i="4"/>
  <c r="E796" i="4"/>
  <c r="D796" i="4"/>
  <c r="C796" i="4"/>
  <c r="B796" i="4"/>
  <c r="A796" i="4"/>
  <c r="G796" i="4" s="1"/>
  <c r="F795" i="4"/>
  <c r="E795" i="4"/>
  <c r="D795" i="4"/>
  <c r="C795" i="4"/>
  <c r="B795" i="4"/>
  <c r="A795" i="4"/>
  <c r="F794" i="4"/>
  <c r="E794" i="4"/>
  <c r="D794" i="4"/>
  <c r="C794" i="4"/>
  <c r="B794" i="4"/>
  <c r="A794" i="4"/>
  <c r="H794" i="4" s="1"/>
  <c r="F793" i="4"/>
  <c r="E793" i="4"/>
  <c r="D793" i="4"/>
  <c r="C793" i="4"/>
  <c r="B793" i="4"/>
  <c r="A793" i="4"/>
  <c r="G793" i="4" s="1"/>
  <c r="F792" i="4"/>
  <c r="E792" i="4"/>
  <c r="D792" i="4"/>
  <c r="C792" i="4"/>
  <c r="B792" i="4"/>
  <c r="A792" i="4"/>
  <c r="H792" i="4" s="1"/>
  <c r="F791" i="4"/>
  <c r="E791" i="4"/>
  <c r="D791" i="4"/>
  <c r="C791" i="4"/>
  <c r="B791" i="4"/>
  <c r="A791" i="4"/>
  <c r="G791" i="4" s="1"/>
  <c r="F790" i="4"/>
  <c r="E790" i="4"/>
  <c r="D790" i="4"/>
  <c r="C790" i="4"/>
  <c r="B790" i="4"/>
  <c r="A790" i="4"/>
  <c r="G790" i="4" s="1"/>
  <c r="F789" i="4"/>
  <c r="E789" i="4"/>
  <c r="D789" i="4"/>
  <c r="C789" i="4"/>
  <c r="B789" i="4"/>
  <c r="A789" i="4"/>
  <c r="H789" i="4" s="1"/>
  <c r="F788" i="4"/>
  <c r="E788" i="4"/>
  <c r="D788" i="4"/>
  <c r="C788" i="4"/>
  <c r="B788" i="4"/>
  <c r="A788" i="4"/>
  <c r="H788" i="4" s="1"/>
  <c r="F787" i="4"/>
  <c r="E787" i="4"/>
  <c r="D787" i="4"/>
  <c r="C787" i="4"/>
  <c r="B787" i="4"/>
  <c r="A787" i="4"/>
  <c r="G787" i="4" s="1"/>
  <c r="F786" i="4"/>
  <c r="E786" i="4"/>
  <c r="D786" i="4"/>
  <c r="C786" i="4"/>
  <c r="B786" i="4"/>
  <c r="A786" i="4"/>
  <c r="H786" i="4" s="1"/>
  <c r="F785" i="4"/>
  <c r="E785" i="4"/>
  <c r="D785" i="4"/>
  <c r="C785" i="4"/>
  <c r="B785" i="4"/>
  <c r="A785" i="4"/>
  <c r="H785" i="4" s="1"/>
  <c r="F784" i="4"/>
  <c r="E784" i="4"/>
  <c r="D784" i="4"/>
  <c r="C784" i="4"/>
  <c r="B784" i="4"/>
  <c r="A784" i="4"/>
  <c r="F783" i="4"/>
  <c r="E783" i="4"/>
  <c r="D783" i="4"/>
  <c r="C783" i="4"/>
  <c r="B783" i="4"/>
  <c r="A783" i="4"/>
  <c r="H783" i="4" s="1"/>
  <c r="F782" i="4"/>
  <c r="E782" i="4"/>
  <c r="D782" i="4"/>
  <c r="C782" i="4"/>
  <c r="B782" i="4"/>
  <c r="A782" i="4"/>
  <c r="G782" i="4" s="1"/>
  <c r="F781" i="4"/>
  <c r="E781" i="4"/>
  <c r="D781" i="4"/>
  <c r="C781" i="4"/>
  <c r="B781" i="4"/>
  <c r="A781" i="4"/>
  <c r="G781" i="4" s="1"/>
  <c r="F780" i="4"/>
  <c r="E780" i="4"/>
  <c r="D780" i="4"/>
  <c r="C780" i="4"/>
  <c r="B780" i="4"/>
  <c r="A780" i="4"/>
  <c r="G780" i="4" s="1"/>
  <c r="F779" i="4"/>
  <c r="E779" i="4"/>
  <c r="D779" i="4"/>
  <c r="C779" i="4"/>
  <c r="B779" i="4"/>
  <c r="A779" i="4"/>
  <c r="H779" i="4" s="1"/>
  <c r="F778" i="4"/>
  <c r="E778" i="4"/>
  <c r="D778" i="4"/>
  <c r="C778" i="4"/>
  <c r="B778" i="4"/>
  <c r="A778" i="4"/>
  <c r="G778" i="4" s="1"/>
  <c r="F777" i="4"/>
  <c r="E777" i="4"/>
  <c r="D777" i="4"/>
  <c r="C777" i="4"/>
  <c r="B777" i="4"/>
  <c r="A777" i="4"/>
  <c r="H777" i="4" s="1"/>
  <c r="F776" i="4"/>
  <c r="E776" i="4"/>
  <c r="D776" i="4"/>
  <c r="C776" i="4"/>
  <c r="B776" i="4"/>
  <c r="A776" i="4"/>
  <c r="H776" i="4" s="1"/>
  <c r="F775" i="4"/>
  <c r="E775" i="4"/>
  <c r="D775" i="4"/>
  <c r="C775" i="4"/>
  <c r="B775" i="4"/>
  <c r="A775" i="4"/>
  <c r="G775" i="4" s="1"/>
  <c r="F774" i="4"/>
  <c r="E774" i="4"/>
  <c r="D774" i="4"/>
  <c r="C774" i="4"/>
  <c r="B774" i="4"/>
  <c r="A774" i="4"/>
  <c r="H774" i="4" s="1"/>
  <c r="F773" i="4"/>
  <c r="E773" i="4"/>
  <c r="D773" i="4"/>
  <c r="C773" i="4"/>
  <c r="B773" i="4"/>
  <c r="A773" i="4"/>
  <c r="H773" i="4" s="1"/>
  <c r="F772" i="4"/>
  <c r="E772" i="4"/>
  <c r="D772" i="4"/>
  <c r="C772" i="4"/>
  <c r="B772" i="4"/>
  <c r="A772" i="4"/>
  <c r="G772" i="4" s="1"/>
  <c r="F771" i="4"/>
  <c r="E771" i="4"/>
  <c r="D771" i="4"/>
  <c r="C771" i="4"/>
  <c r="B771" i="4"/>
  <c r="A771" i="4"/>
  <c r="H771" i="4" s="1"/>
  <c r="F770" i="4"/>
  <c r="E770" i="4"/>
  <c r="D770" i="4"/>
  <c r="C770" i="4"/>
  <c r="B770" i="4"/>
  <c r="A770" i="4"/>
  <c r="F769" i="4"/>
  <c r="E769" i="4"/>
  <c r="D769" i="4"/>
  <c r="C769" i="4"/>
  <c r="B769" i="4"/>
  <c r="A769" i="4"/>
  <c r="G769" i="4" s="1"/>
  <c r="F768" i="4"/>
  <c r="E768" i="4"/>
  <c r="D768" i="4"/>
  <c r="C768" i="4"/>
  <c r="B768" i="4"/>
  <c r="A768" i="4"/>
  <c r="H768" i="4" s="1"/>
  <c r="F767" i="4"/>
  <c r="E767" i="4"/>
  <c r="D767" i="4"/>
  <c r="C767" i="4"/>
  <c r="B767" i="4"/>
  <c r="A767" i="4"/>
  <c r="H767" i="4" s="1"/>
  <c r="F766" i="4"/>
  <c r="E766" i="4"/>
  <c r="D766" i="4"/>
  <c r="C766" i="4"/>
  <c r="B766" i="4"/>
  <c r="A766" i="4"/>
  <c r="G766" i="4" s="1"/>
  <c r="F765" i="4"/>
  <c r="E765" i="4"/>
  <c r="D765" i="4"/>
  <c r="C765" i="4"/>
  <c r="B765" i="4"/>
  <c r="A765" i="4"/>
  <c r="H765" i="4" s="1"/>
  <c r="F764" i="4"/>
  <c r="E764" i="4"/>
  <c r="D764" i="4"/>
  <c r="C764" i="4"/>
  <c r="B764" i="4"/>
  <c r="A764" i="4"/>
  <c r="H764" i="4" s="1"/>
  <c r="F763" i="4"/>
  <c r="E763" i="4"/>
  <c r="D763" i="4"/>
  <c r="C763" i="4"/>
  <c r="B763" i="4"/>
  <c r="A763" i="4"/>
  <c r="G763" i="4" s="1"/>
  <c r="F762" i="4"/>
  <c r="E762" i="4"/>
  <c r="D762" i="4"/>
  <c r="C762" i="4"/>
  <c r="B762" i="4"/>
  <c r="A762" i="4"/>
  <c r="G762" i="4" s="1"/>
  <c r="F761" i="4"/>
  <c r="E761" i="4"/>
  <c r="D761" i="4"/>
  <c r="C761" i="4"/>
  <c r="B761" i="4"/>
  <c r="A761" i="4"/>
  <c r="H761" i="4" s="1"/>
  <c r="F760" i="4"/>
  <c r="E760" i="4"/>
  <c r="D760" i="4"/>
  <c r="C760" i="4"/>
  <c r="B760" i="4"/>
  <c r="A760" i="4"/>
  <c r="G760" i="4" s="1"/>
  <c r="F759" i="4"/>
  <c r="E759" i="4"/>
  <c r="D759" i="4"/>
  <c r="C759" i="4"/>
  <c r="B759" i="4"/>
  <c r="A759" i="4"/>
  <c r="F758" i="4"/>
  <c r="E758" i="4"/>
  <c r="D758" i="4"/>
  <c r="C758" i="4"/>
  <c r="B758" i="4"/>
  <c r="A758" i="4"/>
  <c r="H758" i="4" s="1"/>
  <c r="F757" i="4"/>
  <c r="E757" i="4"/>
  <c r="D757" i="4"/>
  <c r="C757" i="4"/>
  <c r="B757" i="4"/>
  <c r="A757" i="4"/>
  <c r="G757" i="4" s="1"/>
  <c r="F756" i="4"/>
  <c r="E756" i="4"/>
  <c r="D756" i="4"/>
  <c r="C756" i="4"/>
  <c r="B756" i="4"/>
  <c r="A756" i="4"/>
  <c r="H756" i="4" s="1"/>
  <c r="F755" i="4"/>
  <c r="E755" i="4"/>
  <c r="D755" i="4"/>
  <c r="C755" i="4"/>
  <c r="B755" i="4"/>
  <c r="A755" i="4"/>
  <c r="G755" i="4" s="1"/>
  <c r="F754" i="4"/>
  <c r="E754" i="4"/>
  <c r="D754" i="4"/>
  <c r="C754" i="4"/>
  <c r="B754" i="4"/>
  <c r="A754" i="4"/>
  <c r="G754" i="4" s="1"/>
  <c r="F753" i="4"/>
  <c r="E753" i="4"/>
  <c r="D753" i="4"/>
  <c r="C753" i="4"/>
  <c r="B753" i="4"/>
  <c r="A753" i="4"/>
  <c r="H753" i="4" s="1"/>
  <c r="F752" i="4"/>
  <c r="E752" i="4"/>
  <c r="D752" i="4"/>
  <c r="C752" i="4"/>
  <c r="B752" i="4"/>
  <c r="A752" i="4"/>
  <c r="H752" i="4" s="1"/>
  <c r="F751" i="4"/>
  <c r="E751" i="4"/>
  <c r="D751" i="4"/>
  <c r="C751" i="4"/>
  <c r="B751" i="4"/>
  <c r="A751" i="4"/>
  <c r="G751" i="4" s="1"/>
  <c r="F750" i="4"/>
  <c r="E750" i="4"/>
  <c r="D750" i="4"/>
  <c r="C750" i="4"/>
  <c r="B750" i="4"/>
  <c r="A750" i="4"/>
  <c r="H750" i="4" s="1"/>
  <c r="F749" i="4"/>
  <c r="E749" i="4"/>
  <c r="D749" i="4"/>
  <c r="C749" i="4"/>
  <c r="B749" i="4"/>
  <c r="A749" i="4"/>
  <c r="H749" i="4" s="1"/>
  <c r="F748" i="4"/>
  <c r="E748" i="4"/>
  <c r="D748" i="4"/>
  <c r="C748" i="4"/>
  <c r="B748" i="4"/>
  <c r="A748" i="4"/>
  <c r="F747" i="4"/>
  <c r="E747" i="4"/>
  <c r="D747" i="4"/>
  <c r="C747" i="4"/>
  <c r="B747" i="4"/>
  <c r="A747" i="4"/>
  <c r="H747" i="4" s="1"/>
  <c r="F746" i="4"/>
  <c r="E746" i="4"/>
  <c r="D746" i="4"/>
  <c r="C746" i="4"/>
  <c r="B746" i="4"/>
  <c r="A746" i="4"/>
  <c r="H746" i="4" s="1"/>
  <c r="F745" i="4"/>
  <c r="E745" i="4"/>
  <c r="D745" i="4"/>
  <c r="C745" i="4"/>
  <c r="B745" i="4"/>
  <c r="A745" i="4"/>
  <c r="F744" i="4"/>
  <c r="E744" i="4"/>
  <c r="D744" i="4"/>
  <c r="C744" i="4"/>
  <c r="B744" i="4"/>
  <c r="A744" i="4"/>
  <c r="H744" i="4" s="1"/>
  <c r="F743" i="4"/>
  <c r="E743" i="4"/>
  <c r="D743" i="4"/>
  <c r="C743" i="4"/>
  <c r="B743" i="4"/>
  <c r="A743" i="4"/>
  <c r="H743" i="4" s="1"/>
  <c r="F742" i="4"/>
  <c r="E742" i="4"/>
  <c r="D742" i="4"/>
  <c r="C742" i="4"/>
  <c r="B742" i="4"/>
  <c r="A742" i="4"/>
  <c r="F741" i="4"/>
  <c r="E741" i="4"/>
  <c r="D741" i="4"/>
  <c r="C741" i="4"/>
  <c r="B741" i="4"/>
  <c r="A741" i="4"/>
  <c r="H741" i="4" s="1"/>
  <c r="F740" i="4"/>
  <c r="E740" i="4"/>
  <c r="D740" i="4"/>
  <c r="C740" i="4"/>
  <c r="B740" i="4"/>
  <c r="A740" i="4"/>
  <c r="H740" i="4" s="1"/>
  <c r="F739" i="4"/>
  <c r="E739" i="4"/>
  <c r="D739" i="4"/>
  <c r="C739" i="4"/>
  <c r="B739" i="4"/>
  <c r="A739" i="4"/>
  <c r="F738" i="4"/>
  <c r="E738" i="4"/>
  <c r="D738" i="4"/>
  <c r="C738" i="4"/>
  <c r="B738" i="4"/>
  <c r="A738" i="4"/>
  <c r="H738" i="4" s="1"/>
  <c r="F737" i="4"/>
  <c r="E737" i="4"/>
  <c r="D737" i="4"/>
  <c r="C737" i="4"/>
  <c r="B737" i="4"/>
  <c r="A737" i="4"/>
  <c r="G737" i="4" s="1"/>
  <c r="F736" i="4"/>
  <c r="E736" i="4"/>
  <c r="D736" i="4"/>
  <c r="C736" i="4"/>
  <c r="B736" i="4"/>
  <c r="A736" i="4"/>
  <c r="F735" i="4"/>
  <c r="E735" i="4"/>
  <c r="D735" i="4"/>
  <c r="C735" i="4"/>
  <c r="B735" i="4"/>
  <c r="A735" i="4"/>
  <c r="H735" i="4" s="1"/>
  <c r="F734" i="4"/>
  <c r="E734" i="4"/>
  <c r="D734" i="4"/>
  <c r="C734" i="4"/>
  <c r="B734" i="4"/>
  <c r="A734" i="4"/>
  <c r="H734" i="4" s="1"/>
  <c r="F733" i="4"/>
  <c r="E733" i="4"/>
  <c r="D733" i="4"/>
  <c r="C733" i="4"/>
  <c r="B733" i="4"/>
  <c r="A733" i="4"/>
  <c r="F732" i="4"/>
  <c r="E732" i="4"/>
  <c r="D732" i="4"/>
  <c r="C732" i="4"/>
  <c r="B732" i="4"/>
  <c r="A732" i="4"/>
  <c r="H732" i="4" s="1"/>
  <c r="F731" i="4"/>
  <c r="E731" i="4"/>
  <c r="D731" i="4"/>
  <c r="C731" i="4"/>
  <c r="B731" i="4"/>
  <c r="A731" i="4"/>
  <c r="H731" i="4" s="1"/>
  <c r="F730" i="4"/>
  <c r="E730" i="4"/>
  <c r="D730" i="4"/>
  <c r="C730" i="4"/>
  <c r="B730" i="4"/>
  <c r="A730" i="4"/>
  <c r="F729" i="4"/>
  <c r="E729" i="4"/>
  <c r="D729" i="4"/>
  <c r="C729" i="4"/>
  <c r="B729" i="4"/>
  <c r="A729" i="4"/>
  <c r="H729" i="4" s="1"/>
  <c r="F728" i="4"/>
  <c r="E728" i="4"/>
  <c r="D728" i="4"/>
  <c r="C728" i="4"/>
  <c r="B728" i="4"/>
  <c r="A728" i="4"/>
  <c r="G728" i="4" s="1"/>
  <c r="F727" i="4"/>
  <c r="E727" i="4"/>
  <c r="D727" i="4"/>
  <c r="C727" i="4"/>
  <c r="B727" i="4"/>
  <c r="A727" i="4"/>
  <c r="F726" i="4"/>
  <c r="E726" i="4"/>
  <c r="D726" i="4"/>
  <c r="C726" i="4"/>
  <c r="B726" i="4"/>
  <c r="A726" i="4"/>
  <c r="H726" i="4" s="1"/>
  <c r="F725" i="4"/>
  <c r="E725" i="4"/>
  <c r="D725" i="4"/>
  <c r="C725" i="4"/>
  <c r="B725" i="4"/>
  <c r="A725" i="4"/>
  <c r="H725" i="4" s="1"/>
  <c r="F724" i="4"/>
  <c r="E724" i="4"/>
  <c r="D724" i="4"/>
  <c r="C724" i="4"/>
  <c r="B724" i="4"/>
  <c r="A724" i="4"/>
  <c r="F723" i="4"/>
  <c r="E723" i="4"/>
  <c r="D723" i="4"/>
  <c r="C723" i="4"/>
  <c r="B723" i="4"/>
  <c r="A723" i="4"/>
  <c r="H723" i="4" s="1"/>
  <c r="F722" i="4"/>
  <c r="E722" i="4"/>
  <c r="D722" i="4"/>
  <c r="C722" i="4"/>
  <c r="B722" i="4"/>
  <c r="A722" i="4"/>
  <c r="H722" i="4" s="1"/>
  <c r="F721" i="4"/>
  <c r="E721" i="4"/>
  <c r="D721" i="4"/>
  <c r="C721" i="4"/>
  <c r="B721" i="4"/>
  <c r="A721" i="4"/>
  <c r="F720" i="4"/>
  <c r="E720" i="4"/>
  <c r="D720" i="4"/>
  <c r="C720" i="4"/>
  <c r="B720" i="4"/>
  <c r="A720" i="4"/>
  <c r="H720" i="4" s="1"/>
  <c r="F719" i="4"/>
  <c r="E719" i="4"/>
  <c r="D719" i="4"/>
  <c r="C719" i="4"/>
  <c r="B719" i="4"/>
  <c r="A719" i="4"/>
  <c r="G719" i="4" s="1"/>
  <c r="F718" i="4"/>
  <c r="E718" i="4"/>
  <c r="D718" i="4"/>
  <c r="C718" i="4"/>
  <c r="B718" i="4"/>
  <c r="A718" i="4"/>
  <c r="F717" i="4"/>
  <c r="E717" i="4"/>
  <c r="D717" i="4"/>
  <c r="C717" i="4"/>
  <c r="B717" i="4"/>
  <c r="A717" i="4"/>
  <c r="H717" i="4" s="1"/>
  <c r="F716" i="4"/>
  <c r="E716" i="4"/>
  <c r="D716" i="4"/>
  <c r="C716" i="4"/>
  <c r="B716" i="4"/>
  <c r="A716" i="4"/>
  <c r="H716" i="4" s="1"/>
  <c r="F715" i="4"/>
  <c r="E715" i="4"/>
  <c r="D715" i="4"/>
  <c r="C715" i="4"/>
  <c r="B715" i="4"/>
  <c r="A715" i="4"/>
  <c r="F714" i="4"/>
  <c r="E714" i="4"/>
  <c r="D714" i="4"/>
  <c r="C714" i="4"/>
  <c r="B714" i="4"/>
  <c r="A714" i="4"/>
  <c r="H714" i="4" s="1"/>
  <c r="F713" i="4"/>
  <c r="E713" i="4"/>
  <c r="D713" i="4"/>
  <c r="C713" i="4"/>
  <c r="B713" i="4"/>
  <c r="A713" i="4"/>
  <c r="H713" i="4" s="1"/>
  <c r="F712" i="4"/>
  <c r="E712" i="4"/>
  <c r="D712" i="4"/>
  <c r="C712" i="4"/>
  <c r="B712" i="4"/>
  <c r="A712" i="4"/>
  <c r="F711" i="4"/>
  <c r="E711" i="4"/>
  <c r="D711" i="4"/>
  <c r="C711" i="4"/>
  <c r="B711" i="4"/>
  <c r="A711" i="4"/>
  <c r="H711" i="4" s="1"/>
  <c r="F710" i="4"/>
  <c r="E710" i="4"/>
  <c r="D710" i="4"/>
  <c r="C710" i="4"/>
  <c r="B710" i="4"/>
  <c r="A710" i="4"/>
  <c r="G710" i="4" s="1"/>
  <c r="F709" i="4"/>
  <c r="E709" i="4"/>
  <c r="D709" i="4"/>
  <c r="C709" i="4"/>
  <c r="B709" i="4"/>
  <c r="A709" i="4"/>
  <c r="F708" i="4"/>
  <c r="E708" i="4"/>
  <c r="D708" i="4"/>
  <c r="C708" i="4"/>
  <c r="B708" i="4"/>
  <c r="A708" i="4"/>
  <c r="H708" i="4" s="1"/>
  <c r="F707" i="4"/>
  <c r="E707" i="4"/>
  <c r="D707" i="4"/>
  <c r="C707" i="4"/>
  <c r="B707" i="4"/>
  <c r="A707" i="4"/>
  <c r="H707" i="4" s="1"/>
  <c r="F706" i="4"/>
  <c r="E706" i="4"/>
  <c r="D706" i="4"/>
  <c r="C706" i="4"/>
  <c r="B706" i="4"/>
  <c r="A706" i="4"/>
  <c r="F705" i="4"/>
  <c r="E705" i="4"/>
  <c r="D705" i="4"/>
  <c r="C705" i="4"/>
  <c r="B705" i="4"/>
  <c r="A705" i="4"/>
  <c r="H705" i="4" s="1"/>
  <c r="F704" i="4"/>
  <c r="E704" i="4"/>
  <c r="D704" i="4"/>
  <c r="C704" i="4"/>
  <c r="B704" i="4"/>
  <c r="A704" i="4"/>
  <c r="H704" i="4" s="1"/>
  <c r="F703" i="4"/>
  <c r="E703" i="4"/>
  <c r="D703" i="4"/>
  <c r="C703" i="4"/>
  <c r="B703" i="4"/>
  <c r="A703" i="4"/>
  <c r="F702" i="4"/>
  <c r="E702" i="4"/>
  <c r="D702" i="4"/>
  <c r="C702" i="4"/>
  <c r="B702" i="4"/>
  <c r="A702" i="4"/>
  <c r="F701" i="4"/>
  <c r="E701" i="4"/>
  <c r="D701" i="4"/>
  <c r="C701" i="4"/>
  <c r="B701" i="4"/>
  <c r="A701" i="4"/>
  <c r="G701" i="4" s="1"/>
  <c r="F700" i="4"/>
  <c r="E700" i="4"/>
  <c r="D700" i="4"/>
  <c r="C700" i="4"/>
  <c r="B700" i="4"/>
  <c r="A700" i="4"/>
  <c r="F699" i="4"/>
  <c r="E699" i="4"/>
  <c r="D699" i="4"/>
  <c r="C699" i="4"/>
  <c r="B699" i="4"/>
  <c r="A699" i="4"/>
  <c r="F698" i="4"/>
  <c r="E698" i="4"/>
  <c r="D698" i="4"/>
  <c r="C698" i="4"/>
  <c r="B698" i="4"/>
  <c r="A698" i="4"/>
  <c r="H698" i="4" s="1"/>
  <c r="F697" i="4"/>
  <c r="E697" i="4"/>
  <c r="D697" i="4"/>
  <c r="C697" i="4"/>
  <c r="B697" i="4"/>
  <c r="A697" i="4"/>
  <c r="F696" i="4"/>
  <c r="E696" i="4"/>
  <c r="D696" i="4"/>
  <c r="C696" i="4"/>
  <c r="B696" i="4"/>
  <c r="A696" i="4"/>
  <c r="F695" i="4"/>
  <c r="E695" i="4"/>
  <c r="D695" i="4"/>
  <c r="C695" i="4"/>
  <c r="B695" i="4"/>
  <c r="A695" i="4"/>
  <c r="H695" i="4" s="1"/>
  <c r="F694" i="4"/>
  <c r="E694" i="4"/>
  <c r="D694" i="4"/>
  <c r="C694" i="4"/>
  <c r="B694" i="4"/>
  <c r="A694" i="4"/>
  <c r="F693" i="4"/>
  <c r="E693" i="4"/>
  <c r="D693" i="4"/>
  <c r="C693" i="4"/>
  <c r="B693" i="4"/>
  <c r="A693" i="4"/>
  <c r="F692" i="4"/>
  <c r="E692" i="4"/>
  <c r="D692" i="4"/>
  <c r="C692" i="4"/>
  <c r="B692" i="4"/>
  <c r="A692" i="4"/>
  <c r="G692" i="4" s="1"/>
  <c r="F691" i="4"/>
  <c r="E691" i="4"/>
  <c r="D691" i="4"/>
  <c r="C691" i="4"/>
  <c r="B691" i="4"/>
  <c r="A691" i="4"/>
  <c r="F690" i="4"/>
  <c r="E690" i="4"/>
  <c r="D690" i="4"/>
  <c r="C690" i="4"/>
  <c r="B690" i="4"/>
  <c r="A690" i="4"/>
  <c r="F689" i="4"/>
  <c r="E689" i="4"/>
  <c r="D689" i="4"/>
  <c r="C689" i="4"/>
  <c r="B689" i="4"/>
  <c r="A689" i="4"/>
  <c r="H689" i="4" s="1"/>
  <c r="F688" i="4"/>
  <c r="E688" i="4"/>
  <c r="D688" i="4"/>
  <c r="C688" i="4"/>
  <c r="B688" i="4"/>
  <c r="A688" i="4"/>
  <c r="F687" i="4"/>
  <c r="E687" i="4"/>
  <c r="D687" i="4"/>
  <c r="C687" i="4"/>
  <c r="B687" i="4"/>
  <c r="A687" i="4"/>
  <c r="F686" i="4"/>
  <c r="E686" i="4"/>
  <c r="D686" i="4"/>
  <c r="C686" i="4"/>
  <c r="B686" i="4"/>
  <c r="A686" i="4"/>
  <c r="H686" i="4" s="1"/>
  <c r="F685" i="4"/>
  <c r="E685" i="4"/>
  <c r="D685" i="4"/>
  <c r="C685" i="4"/>
  <c r="B685" i="4"/>
  <c r="A685" i="4"/>
  <c r="F684" i="4"/>
  <c r="E684" i="4"/>
  <c r="D684" i="4"/>
  <c r="C684" i="4"/>
  <c r="B684" i="4"/>
  <c r="A684" i="4"/>
  <c r="F683" i="4"/>
  <c r="E683" i="4"/>
  <c r="D683" i="4"/>
  <c r="C683" i="4"/>
  <c r="B683" i="4"/>
  <c r="A683" i="4"/>
  <c r="G683" i="4" s="1"/>
  <c r="F682" i="4"/>
  <c r="E682" i="4"/>
  <c r="D682" i="4"/>
  <c r="C682" i="4"/>
  <c r="B682" i="4"/>
  <c r="A682" i="4"/>
  <c r="F681" i="4"/>
  <c r="E681" i="4"/>
  <c r="D681" i="4"/>
  <c r="C681" i="4"/>
  <c r="B681" i="4"/>
  <c r="A681" i="4"/>
  <c r="F680" i="4"/>
  <c r="E680" i="4"/>
  <c r="D680" i="4"/>
  <c r="C680" i="4"/>
  <c r="B680" i="4"/>
  <c r="A680" i="4"/>
  <c r="H680" i="4" s="1"/>
  <c r="F679" i="4"/>
  <c r="E679" i="4"/>
  <c r="D679" i="4"/>
  <c r="C679" i="4"/>
  <c r="B679" i="4"/>
  <c r="A679" i="4"/>
  <c r="F678" i="4"/>
  <c r="E678" i="4"/>
  <c r="D678" i="4"/>
  <c r="C678" i="4"/>
  <c r="B678" i="4"/>
  <c r="A678" i="4"/>
  <c r="F677" i="4"/>
  <c r="E677" i="4"/>
  <c r="D677" i="4"/>
  <c r="C677" i="4"/>
  <c r="B677" i="4"/>
  <c r="A677" i="4"/>
  <c r="G677" i="4" s="1"/>
  <c r="F676" i="4"/>
  <c r="E676" i="4"/>
  <c r="D676" i="4"/>
  <c r="C676" i="4"/>
  <c r="B676" i="4"/>
  <c r="A676" i="4"/>
  <c r="F675" i="4"/>
  <c r="E675" i="4"/>
  <c r="D675" i="4"/>
  <c r="C675" i="4"/>
  <c r="B675" i="4"/>
  <c r="A675" i="4"/>
  <c r="F674" i="4"/>
  <c r="E674" i="4"/>
  <c r="D674" i="4"/>
  <c r="C674" i="4"/>
  <c r="B674" i="4"/>
  <c r="A674" i="4"/>
  <c r="G674" i="4" s="1"/>
  <c r="F673" i="4"/>
  <c r="E673" i="4"/>
  <c r="D673" i="4"/>
  <c r="C673" i="4"/>
  <c r="B673" i="4"/>
  <c r="A673" i="4"/>
  <c r="F672" i="4"/>
  <c r="E672" i="4"/>
  <c r="D672" i="4"/>
  <c r="C672" i="4"/>
  <c r="B672" i="4"/>
  <c r="A672" i="4"/>
  <c r="F671" i="4"/>
  <c r="E671" i="4"/>
  <c r="D671" i="4"/>
  <c r="C671" i="4"/>
  <c r="B671" i="4"/>
  <c r="A671" i="4"/>
  <c r="H671" i="4" s="1"/>
  <c r="F670" i="4"/>
  <c r="E670" i="4"/>
  <c r="D670" i="4"/>
  <c r="C670" i="4"/>
  <c r="B670" i="4"/>
  <c r="A670" i="4"/>
  <c r="F669" i="4"/>
  <c r="E669" i="4"/>
  <c r="D669" i="4"/>
  <c r="C669" i="4"/>
  <c r="B669" i="4"/>
  <c r="A669" i="4"/>
  <c r="F668" i="4"/>
  <c r="E668" i="4"/>
  <c r="D668" i="4"/>
  <c r="C668" i="4"/>
  <c r="B668" i="4"/>
  <c r="A668" i="4"/>
  <c r="G668" i="4" s="1"/>
  <c r="F667" i="4"/>
  <c r="E667" i="4"/>
  <c r="D667" i="4"/>
  <c r="C667" i="4"/>
  <c r="B667" i="4"/>
  <c r="A667" i="4"/>
  <c r="F666" i="4"/>
  <c r="E666" i="4"/>
  <c r="D666" i="4"/>
  <c r="C666" i="4"/>
  <c r="B666" i="4"/>
  <c r="A666" i="4"/>
  <c r="F665" i="4"/>
  <c r="E665" i="4"/>
  <c r="D665" i="4"/>
  <c r="C665" i="4"/>
  <c r="B665" i="4"/>
  <c r="A665" i="4"/>
  <c r="H665" i="4" s="1"/>
  <c r="F664" i="4"/>
  <c r="E664" i="4"/>
  <c r="D664" i="4"/>
  <c r="C664" i="4"/>
  <c r="B664" i="4"/>
  <c r="A664" i="4"/>
  <c r="F663" i="4"/>
  <c r="E663" i="4"/>
  <c r="D663" i="4"/>
  <c r="C663" i="4"/>
  <c r="B663" i="4"/>
  <c r="A663" i="4"/>
  <c r="F662" i="4"/>
  <c r="E662" i="4"/>
  <c r="D662" i="4"/>
  <c r="C662" i="4"/>
  <c r="B662" i="4"/>
  <c r="A662" i="4"/>
  <c r="H662" i="4" s="1"/>
  <c r="F661" i="4"/>
  <c r="E661" i="4"/>
  <c r="D661" i="4"/>
  <c r="C661" i="4"/>
  <c r="B661" i="4"/>
  <c r="A661" i="4"/>
  <c r="H661" i="4" s="1"/>
  <c r="F660" i="4"/>
  <c r="E660" i="4"/>
  <c r="D660" i="4"/>
  <c r="C660" i="4"/>
  <c r="B660" i="4"/>
  <c r="A660" i="4"/>
  <c r="F659" i="4"/>
  <c r="E659" i="4"/>
  <c r="D659" i="4"/>
  <c r="C659" i="4"/>
  <c r="B659" i="4"/>
  <c r="A659" i="4"/>
  <c r="H659" i="4" s="1"/>
  <c r="F658" i="4"/>
  <c r="E658" i="4"/>
  <c r="D658" i="4"/>
  <c r="C658" i="4"/>
  <c r="B658" i="4"/>
  <c r="A658" i="4"/>
  <c r="H658" i="4" s="1"/>
  <c r="F657" i="4"/>
  <c r="E657" i="4"/>
  <c r="D657" i="4"/>
  <c r="C657" i="4"/>
  <c r="B657" i="4"/>
  <c r="A657" i="4"/>
  <c r="F656" i="4"/>
  <c r="E656" i="4"/>
  <c r="D656" i="4"/>
  <c r="C656" i="4"/>
  <c r="B656" i="4"/>
  <c r="A656" i="4"/>
  <c r="G656" i="4" s="1"/>
  <c r="F655" i="4"/>
  <c r="E655" i="4"/>
  <c r="D655" i="4"/>
  <c r="C655" i="4"/>
  <c r="B655" i="4"/>
  <c r="A655" i="4"/>
  <c r="H655" i="4" s="1"/>
  <c r="F654" i="4"/>
  <c r="E654" i="4"/>
  <c r="D654" i="4"/>
  <c r="C654" i="4"/>
  <c r="B654" i="4"/>
  <c r="A654" i="4"/>
  <c r="F653" i="4"/>
  <c r="E653" i="4"/>
  <c r="D653" i="4"/>
  <c r="C653" i="4"/>
  <c r="B653" i="4"/>
  <c r="A653" i="4"/>
  <c r="H653" i="4" s="1"/>
  <c r="F652" i="4"/>
  <c r="E652" i="4"/>
  <c r="D652" i="4"/>
  <c r="C652" i="4"/>
  <c r="B652" i="4"/>
  <c r="A652" i="4"/>
  <c r="H652" i="4" s="1"/>
  <c r="F651" i="4"/>
  <c r="E651" i="4"/>
  <c r="D651" i="4"/>
  <c r="C651" i="4"/>
  <c r="B651" i="4"/>
  <c r="A651" i="4"/>
  <c r="F650" i="4"/>
  <c r="E650" i="4"/>
  <c r="D650" i="4"/>
  <c r="C650" i="4"/>
  <c r="B650" i="4"/>
  <c r="A650" i="4"/>
  <c r="H650" i="4" s="1"/>
  <c r="F649" i="4"/>
  <c r="E649" i="4"/>
  <c r="D649" i="4"/>
  <c r="C649" i="4"/>
  <c r="B649" i="4"/>
  <c r="A649" i="4"/>
  <c r="H649" i="4" s="1"/>
  <c r="F648" i="4"/>
  <c r="E648" i="4"/>
  <c r="D648" i="4"/>
  <c r="C648" i="4"/>
  <c r="B648" i="4"/>
  <c r="A648" i="4"/>
  <c r="F647" i="4"/>
  <c r="E647" i="4"/>
  <c r="D647" i="4"/>
  <c r="C647" i="4"/>
  <c r="B647" i="4"/>
  <c r="A647" i="4"/>
  <c r="H647" i="4" s="1"/>
  <c r="F646" i="4"/>
  <c r="E646" i="4"/>
  <c r="D646" i="4"/>
  <c r="C646" i="4"/>
  <c r="B646" i="4"/>
  <c r="A646" i="4"/>
  <c r="H646" i="4" s="1"/>
  <c r="F645" i="4"/>
  <c r="E645" i="4"/>
  <c r="D645" i="4"/>
  <c r="C645" i="4"/>
  <c r="B645" i="4"/>
  <c r="A645" i="4"/>
  <c r="F644" i="4"/>
  <c r="E644" i="4"/>
  <c r="D644" i="4"/>
  <c r="C644" i="4"/>
  <c r="B644" i="4"/>
  <c r="A644" i="4"/>
  <c r="G644" i="4" s="1"/>
  <c r="F643" i="4"/>
  <c r="E643" i="4"/>
  <c r="D643" i="4"/>
  <c r="C643" i="4"/>
  <c r="B643" i="4"/>
  <c r="A643" i="4"/>
  <c r="H643" i="4" s="1"/>
  <c r="F642" i="4"/>
  <c r="E642" i="4"/>
  <c r="D642" i="4"/>
  <c r="C642" i="4"/>
  <c r="B642" i="4"/>
  <c r="A642" i="4"/>
  <c r="F641" i="4"/>
  <c r="E641" i="4"/>
  <c r="D641" i="4"/>
  <c r="C641" i="4"/>
  <c r="B641" i="4"/>
  <c r="A641" i="4"/>
  <c r="H641" i="4" s="1"/>
  <c r="F640" i="4"/>
  <c r="E640" i="4"/>
  <c r="D640" i="4"/>
  <c r="C640" i="4"/>
  <c r="B640" i="4"/>
  <c r="A640" i="4"/>
  <c r="H640" i="4" s="1"/>
  <c r="F639" i="4"/>
  <c r="E639" i="4"/>
  <c r="D639" i="4"/>
  <c r="C639" i="4"/>
  <c r="B639" i="4"/>
  <c r="A639" i="4"/>
  <c r="F638" i="4"/>
  <c r="E638" i="4"/>
  <c r="D638" i="4"/>
  <c r="C638" i="4"/>
  <c r="B638" i="4"/>
  <c r="A638" i="4"/>
  <c r="H638" i="4" s="1"/>
  <c r="F637" i="4"/>
  <c r="E637" i="4"/>
  <c r="D637" i="4"/>
  <c r="C637" i="4"/>
  <c r="B637" i="4"/>
  <c r="A637" i="4"/>
  <c r="H637" i="4" s="1"/>
  <c r="F636" i="4"/>
  <c r="E636" i="4"/>
  <c r="D636" i="4"/>
  <c r="C636" i="4"/>
  <c r="B636" i="4"/>
  <c r="A636" i="4"/>
  <c r="F635" i="4"/>
  <c r="E635" i="4"/>
  <c r="D635" i="4"/>
  <c r="C635" i="4"/>
  <c r="B635" i="4"/>
  <c r="A635" i="4"/>
  <c r="H635" i="4" s="1"/>
  <c r="F634" i="4"/>
  <c r="E634" i="4"/>
  <c r="D634" i="4"/>
  <c r="C634" i="4"/>
  <c r="B634" i="4"/>
  <c r="A634" i="4"/>
  <c r="H634" i="4" s="1"/>
  <c r="F633" i="4"/>
  <c r="E633" i="4"/>
  <c r="D633" i="4"/>
  <c r="C633" i="4"/>
  <c r="B633" i="4"/>
  <c r="A633" i="4"/>
  <c r="F632" i="4"/>
  <c r="E632" i="4"/>
  <c r="D632" i="4"/>
  <c r="C632" i="4"/>
  <c r="B632" i="4"/>
  <c r="A632" i="4"/>
  <c r="G632" i="4" s="1"/>
  <c r="F631" i="4"/>
  <c r="E631" i="4"/>
  <c r="D631" i="4"/>
  <c r="C631" i="4"/>
  <c r="B631" i="4"/>
  <c r="A631" i="4"/>
  <c r="H631" i="4" s="1"/>
  <c r="F630" i="4"/>
  <c r="E630" i="4"/>
  <c r="D630" i="4"/>
  <c r="C630" i="4"/>
  <c r="B630" i="4"/>
  <c r="A630" i="4"/>
  <c r="F629" i="4"/>
  <c r="E629" i="4"/>
  <c r="D629" i="4"/>
  <c r="C629" i="4"/>
  <c r="B629" i="4"/>
  <c r="A629" i="4"/>
  <c r="H629" i="4" s="1"/>
  <c r="F628" i="4"/>
  <c r="E628" i="4"/>
  <c r="D628" i="4"/>
  <c r="C628" i="4"/>
  <c r="B628" i="4"/>
  <c r="A628" i="4"/>
  <c r="H628" i="4" s="1"/>
  <c r="F627" i="4"/>
  <c r="E627" i="4"/>
  <c r="D627" i="4"/>
  <c r="C627" i="4"/>
  <c r="B627" i="4"/>
  <c r="A627" i="4"/>
  <c r="F626" i="4"/>
  <c r="E626" i="4"/>
  <c r="D626" i="4"/>
  <c r="C626" i="4"/>
  <c r="B626" i="4"/>
  <c r="A626" i="4"/>
  <c r="H626" i="4" s="1"/>
  <c r="F625" i="4"/>
  <c r="E625" i="4"/>
  <c r="D625" i="4"/>
  <c r="C625" i="4"/>
  <c r="B625" i="4"/>
  <c r="A625" i="4"/>
  <c r="H625" i="4" s="1"/>
  <c r="F624" i="4"/>
  <c r="E624" i="4"/>
  <c r="D624" i="4"/>
  <c r="C624" i="4"/>
  <c r="B624" i="4"/>
  <c r="A624" i="4"/>
  <c r="F623" i="4"/>
  <c r="E623" i="4"/>
  <c r="D623" i="4"/>
  <c r="C623" i="4"/>
  <c r="B623" i="4"/>
  <c r="A623" i="4"/>
  <c r="H623" i="4" s="1"/>
  <c r="F622" i="4"/>
  <c r="E622" i="4"/>
  <c r="D622" i="4"/>
  <c r="C622" i="4"/>
  <c r="B622" i="4"/>
  <c r="A622" i="4"/>
  <c r="H622" i="4" s="1"/>
  <c r="F621" i="4"/>
  <c r="E621" i="4"/>
  <c r="D621" i="4"/>
  <c r="C621" i="4"/>
  <c r="B621" i="4"/>
  <c r="A621" i="4"/>
  <c r="F620" i="4"/>
  <c r="E620" i="4"/>
  <c r="D620" i="4"/>
  <c r="C620" i="4"/>
  <c r="B620" i="4"/>
  <c r="A620" i="4"/>
  <c r="G620" i="4" s="1"/>
  <c r="F619" i="4"/>
  <c r="E619" i="4"/>
  <c r="D619" i="4"/>
  <c r="C619" i="4"/>
  <c r="B619" i="4"/>
  <c r="A619" i="4"/>
  <c r="H619" i="4" s="1"/>
  <c r="F618" i="4"/>
  <c r="E618" i="4"/>
  <c r="D618" i="4"/>
  <c r="C618" i="4"/>
  <c r="B618" i="4"/>
  <c r="A618" i="4"/>
  <c r="F617" i="4"/>
  <c r="E617" i="4"/>
  <c r="D617" i="4"/>
  <c r="C617" i="4"/>
  <c r="B617" i="4"/>
  <c r="A617" i="4"/>
  <c r="H617" i="4" s="1"/>
  <c r="F616" i="4"/>
  <c r="E616" i="4"/>
  <c r="D616" i="4"/>
  <c r="C616" i="4"/>
  <c r="B616" i="4"/>
  <c r="A616" i="4"/>
  <c r="H616" i="4" s="1"/>
  <c r="F615" i="4"/>
  <c r="E615" i="4"/>
  <c r="D615" i="4"/>
  <c r="C615" i="4"/>
  <c r="B615" i="4"/>
  <c r="A615" i="4"/>
  <c r="F614" i="4"/>
  <c r="E614" i="4"/>
  <c r="D614" i="4"/>
  <c r="C614" i="4"/>
  <c r="B614" i="4"/>
  <c r="A614" i="4"/>
  <c r="H614" i="4" s="1"/>
  <c r="F613" i="4"/>
  <c r="E613" i="4"/>
  <c r="D613" i="4"/>
  <c r="C613" i="4"/>
  <c r="B613" i="4"/>
  <c r="A613" i="4"/>
  <c r="H613" i="4" s="1"/>
  <c r="F612" i="4"/>
  <c r="E612" i="4"/>
  <c r="D612" i="4"/>
  <c r="C612" i="4"/>
  <c r="B612" i="4"/>
  <c r="A612" i="4"/>
  <c r="F611" i="4"/>
  <c r="E611" i="4"/>
  <c r="D611" i="4"/>
  <c r="C611" i="4"/>
  <c r="B611" i="4"/>
  <c r="A611" i="4"/>
  <c r="H611" i="4" s="1"/>
  <c r="F610" i="4"/>
  <c r="E610" i="4"/>
  <c r="D610" i="4"/>
  <c r="C610" i="4"/>
  <c r="B610" i="4"/>
  <c r="A610" i="4"/>
  <c r="G610" i="4" s="1"/>
  <c r="F609" i="4"/>
  <c r="E609" i="4"/>
  <c r="D609" i="4"/>
  <c r="C609" i="4"/>
  <c r="B609" i="4"/>
  <c r="A609" i="4"/>
  <c r="F608" i="4"/>
  <c r="E608" i="4"/>
  <c r="D608" i="4"/>
  <c r="C608" i="4"/>
  <c r="B608" i="4"/>
  <c r="A608" i="4"/>
  <c r="H608" i="4" s="1"/>
  <c r="F607" i="4"/>
  <c r="E607" i="4"/>
  <c r="D607" i="4"/>
  <c r="C607" i="4"/>
  <c r="B607" i="4"/>
  <c r="A607" i="4"/>
  <c r="G607" i="4" s="1"/>
  <c r="F606" i="4"/>
  <c r="E606" i="4"/>
  <c r="D606" i="4"/>
  <c r="C606" i="4"/>
  <c r="B606" i="4"/>
  <c r="A606" i="4"/>
  <c r="F605" i="4"/>
  <c r="E605" i="4"/>
  <c r="D605" i="4"/>
  <c r="C605" i="4"/>
  <c r="B605" i="4"/>
  <c r="A605" i="4"/>
  <c r="G605" i="4" s="1"/>
  <c r="F604" i="4"/>
  <c r="E604" i="4"/>
  <c r="D604" i="4"/>
  <c r="C604" i="4"/>
  <c r="B604" i="4"/>
  <c r="A604" i="4"/>
  <c r="G604" i="4" s="1"/>
  <c r="F603" i="4"/>
  <c r="E603" i="4"/>
  <c r="D603" i="4"/>
  <c r="C603" i="4"/>
  <c r="B603" i="4"/>
  <c r="A603" i="4"/>
  <c r="F602" i="4"/>
  <c r="E602" i="4"/>
  <c r="D602" i="4"/>
  <c r="C602" i="4"/>
  <c r="B602" i="4"/>
  <c r="A602" i="4"/>
  <c r="G602" i="4" s="1"/>
  <c r="F601" i="4"/>
  <c r="E601" i="4"/>
  <c r="D601" i="4"/>
  <c r="C601" i="4"/>
  <c r="B601" i="4"/>
  <c r="A601" i="4"/>
  <c r="H601" i="4" s="1"/>
  <c r="F600" i="4"/>
  <c r="E600" i="4"/>
  <c r="D600" i="4"/>
  <c r="C600" i="4"/>
  <c r="B600" i="4"/>
  <c r="A600" i="4"/>
  <c r="F599" i="4"/>
  <c r="E599" i="4"/>
  <c r="D599" i="4"/>
  <c r="C599" i="4"/>
  <c r="B599" i="4"/>
  <c r="A599" i="4"/>
  <c r="H599" i="4" s="1"/>
  <c r="F598" i="4"/>
  <c r="E598" i="4"/>
  <c r="D598" i="4"/>
  <c r="C598" i="4"/>
  <c r="B598" i="4"/>
  <c r="A598" i="4"/>
  <c r="H598" i="4" s="1"/>
  <c r="F597" i="4"/>
  <c r="E597" i="4"/>
  <c r="D597" i="4"/>
  <c r="C597" i="4"/>
  <c r="B597" i="4"/>
  <c r="A597" i="4"/>
  <c r="F596" i="4"/>
  <c r="E596" i="4"/>
  <c r="D596" i="4"/>
  <c r="C596" i="4"/>
  <c r="B596" i="4"/>
  <c r="A596" i="4"/>
  <c r="H596" i="4" s="1"/>
  <c r="F595" i="4"/>
  <c r="E595" i="4"/>
  <c r="D595" i="4"/>
  <c r="C595" i="4"/>
  <c r="B595" i="4"/>
  <c r="A595" i="4"/>
  <c r="H595" i="4" s="1"/>
  <c r="F594" i="4"/>
  <c r="E594" i="4"/>
  <c r="D594" i="4"/>
  <c r="C594" i="4"/>
  <c r="B594" i="4"/>
  <c r="A594" i="4"/>
  <c r="F593" i="4"/>
  <c r="E593" i="4"/>
  <c r="D593" i="4"/>
  <c r="C593" i="4"/>
  <c r="B593" i="4"/>
  <c r="A593" i="4"/>
  <c r="H593" i="4" s="1"/>
  <c r="F592" i="4"/>
  <c r="E592" i="4"/>
  <c r="D592" i="4"/>
  <c r="C592" i="4"/>
  <c r="B592" i="4"/>
  <c r="A592" i="4"/>
  <c r="G592" i="4" s="1"/>
  <c r="F591" i="4"/>
  <c r="E591" i="4"/>
  <c r="D591" i="4"/>
  <c r="C591" i="4"/>
  <c r="B591" i="4"/>
  <c r="A591" i="4"/>
  <c r="F590" i="4"/>
  <c r="E590" i="4"/>
  <c r="D590" i="4"/>
  <c r="C590" i="4"/>
  <c r="B590" i="4"/>
  <c r="A590" i="4"/>
  <c r="H590" i="4" s="1"/>
  <c r="F589" i="4"/>
  <c r="E589" i="4"/>
  <c r="D589" i="4"/>
  <c r="C589" i="4"/>
  <c r="B589" i="4"/>
  <c r="A589" i="4"/>
  <c r="G589" i="4" s="1"/>
  <c r="F588" i="4"/>
  <c r="E588" i="4"/>
  <c r="D588" i="4"/>
  <c r="C588" i="4"/>
  <c r="B588" i="4"/>
  <c r="A588" i="4"/>
  <c r="F587" i="4"/>
  <c r="E587" i="4"/>
  <c r="D587" i="4"/>
  <c r="C587" i="4"/>
  <c r="B587" i="4"/>
  <c r="A587" i="4"/>
  <c r="G587" i="4" s="1"/>
  <c r="F586" i="4"/>
  <c r="E586" i="4"/>
  <c r="D586" i="4"/>
  <c r="C586" i="4"/>
  <c r="B586" i="4"/>
  <c r="A586" i="4"/>
  <c r="G586" i="4" s="1"/>
  <c r="F585" i="4"/>
  <c r="E585" i="4"/>
  <c r="D585" i="4"/>
  <c r="C585" i="4"/>
  <c r="B585" i="4"/>
  <c r="A585" i="4"/>
  <c r="F584" i="4"/>
  <c r="E584" i="4"/>
  <c r="D584" i="4"/>
  <c r="C584" i="4"/>
  <c r="B584" i="4"/>
  <c r="A584" i="4"/>
  <c r="G584" i="4" s="1"/>
  <c r="F583" i="4"/>
  <c r="E583" i="4"/>
  <c r="D583" i="4"/>
  <c r="C583" i="4"/>
  <c r="B583" i="4"/>
  <c r="A583" i="4"/>
  <c r="H583" i="4" s="1"/>
  <c r="F582" i="4"/>
  <c r="E582" i="4"/>
  <c r="D582" i="4"/>
  <c r="C582" i="4"/>
  <c r="B582" i="4"/>
  <c r="A582" i="4"/>
  <c r="F581" i="4"/>
  <c r="E581" i="4"/>
  <c r="D581" i="4"/>
  <c r="C581" i="4"/>
  <c r="B581" i="4"/>
  <c r="A581" i="4"/>
  <c r="H581" i="4" s="1"/>
  <c r="F580" i="4"/>
  <c r="E580" i="4"/>
  <c r="D580" i="4"/>
  <c r="C580" i="4"/>
  <c r="B580" i="4"/>
  <c r="A580" i="4"/>
  <c r="H580" i="4" s="1"/>
  <c r="F579" i="4"/>
  <c r="E579" i="4"/>
  <c r="D579" i="4"/>
  <c r="C579" i="4"/>
  <c r="B579" i="4"/>
  <c r="A579" i="4"/>
  <c r="H579" i="4" s="1"/>
  <c r="F578" i="4"/>
  <c r="E578" i="4"/>
  <c r="D578" i="4"/>
  <c r="C578" i="4"/>
  <c r="B578" i="4"/>
  <c r="A578" i="4"/>
  <c r="H578" i="4" s="1"/>
  <c r="F577" i="4"/>
  <c r="E577" i="4"/>
  <c r="D577" i="4"/>
  <c r="C577" i="4"/>
  <c r="B577" i="4"/>
  <c r="A577" i="4"/>
  <c r="H577" i="4" s="1"/>
  <c r="F576" i="4"/>
  <c r="E576" i="4"/>
  <c r="D576" i="4"/>
  <c r="C576" i="4"/>
  <c r="B576" i="4"/>
  <c r="A576" i="4"/>
  <c r="H576" i="4" s="1"/>
  <c r="F575" i="4"/>
  <c r="E575" i="4"/>
  <c r="D575" i="4"/>
  <c r="C575" i="4"/>
  <c r="B575" i="4"/>
  <c r="A575" i="4"/>
  <c r="H575" i="4" s="1"/>
  <c r="F574" i="4"/>
  <c r="E574" i="4"/>
  <c r="D574" i="4"/>
  <c r="C574" i="4"/>
  <c r="B574" i="4"/>
  <c r="A574" i="4"/>
  <c r="H574" i="4" s="1"/>
  <c r="F573" i="4"/>
  <c r="E573" i="4"/>
  <c r="D573" i="4"/>
  <c r="C573" i="4"/>
  <c r="B573" i="4"/>
  <c r="A573" i="4"/>
  <c r="H573" i="4" s="1"/>
  <c r="F572" i="4"/>
  <c r="E572" i="4"/>
  <c r="D572" i="4"/>
  <c r="C572" i="4"/>
  <c r="B572" i="4"/>
  <c r="A572" i="4"/>
  <c r="H572" i="4" s="1"/>
  <c r="F571" i="4"/>
  <c r="E571" i="4"/>
  <c r="D571" i="4"/>
  <c r="C571" i="4"/>
  <c r="B571" i="4"/>
  <c r="A571" i="4"/>
  <c r="H571" i="4" s="1"/>
  <c r="F570" i="4"/>
  <c r="E570" i="4"/>
  <c r="D570" i="4"/>
  <c r="C570" i="4"/>
  <c r="B570" i="4"/>
  <c r="A570" i="4"/>
  <c r="H570" i="4" s="1"/>
  <c r="F569" i="4"/>
  <c r="E569" i="4"/>
  <c r="D569" i="4"/>
  <c r="C569" i="4"/>
  <c r="B569" i="4"/>
  <c r="A569" i="4"/>
  <c r="H569" i="4" s="1"/>
  <c r="F568" i="4"/>
  <c r="E568" i="4"/>
  <c r="D568" i="4"/>
  <c r="C568" i="4"/>
  <c r="B568" i="4"/>
  <c r="A568" i="4"/>
  <c r="G568" i="4" s="1"/>
  <c r="F567" i="4"/>
  <c r="E567" i="4"/>
  <c r="D567" i="4"/>
  <c r="C567" i="4"/>
  <c r="B567" i="4"/>
  <c r="A567" i="4"/>
  <c r="H567" i="4" s="1"/>
  <c r="F566" i="4"/>
  <c r="E566" i="4"/>
  <c r="D566" i="4"/>
  <c r="C566" i="4"/>
  <c r="B566" i="4"/>
  <c r="A566" i="4"/>
  <c r="H566" i="4" s="1"/>
  <c r="F565" i="4"/>
  <c r="E565" i="4"/>
  <c r="D565" i="4"/>
  <c r="C565" i="4"/>
  <c r="B565" i="4"/>
  <c r="A565" i="4"/>
  <c r="H565" i="4" s="1"/>
  <c r="F564" i="4"/>
  <c r="E564" i="4"/>
  <c r="D564" i="4"/>
  <c r="C564" i="4"/>
  <c r="B564" i="4"/>
  <c r="A564" i="4"/>
  <c r="H564" i="4" s="1"/>
  <c r="F563" i="4"/>
  <c r="E563" i="4"/>
  <c r="D563" i="4"/>
  <c r="C563" i="4"/>
  <c r="B563" i="4"/>
  <c r="A563" i="4"/>
  <c r="H563" i="4" s="1"/>
  <c r="F562" i="4"/>
  <c r="E562" i="4"/>
  <c r="D562" i="4"/>
  <c r="C562" i="4"/>
  <c r="B562" i="4"/>
  <c r="A562" i="4"/>
  <c r="H562" i="4" s="1"/>
  <c r="F561" i="4"/>
  <c r="E561" i="4"/>
  <c r="D561" i="4"/>
  <c r="C561" i="4"/>
  <c r="B561" i="4"/>
  <c r="A561" i="4"/>
  <c r="H561" i="4" s="1"/>
  <c r="F560" i="4"/>
  <c r="E560" i="4"/>
  <c r="D560" i="4"/>
  <c r="C560" i="4"/>
  <c r="B560" i="4"/>
  <c r="A560" i="4"/>
  <c r="H560" i="4" s="1"/>
  <c r="F559" i="4"/>
  <c r="E559" i="4"/>
  <c r="D559" i="4"/>
  <c r="C559" i="4"/>
  <c r="B559" i="4"/>
  <c r="A559" i="4"/>
  <c r="G559" i="4" s="1"/>
  <c r="F558" i="4"/>
  <c r="E558" i="4"/>
  <c r="D558" i="4"/>
  <c r="C558" i="4"/>
  <c r="B558" i="4"/>
  <c r="A558" i="4"/>
  <c r="H558" i="4" s="1"/>
  <c r="F557" i="4"/>
  <c r="E557" i="4"/>
  <c r="D557" i="4"/>
  <c r="C557" i="4"/>
  <c r="B557" i="4"/>
  <c r="A557" i="4"/>
  <c r="G557" i="4" s="1"/>
  <c r="F556" i="4"/>
  <c r="E556" i="4"/>
  <c r="D556" i="4"/>
  <c r="C556" i="4"/>
  <c r="B556" i="4"/>
  <c r="A556" i="4"/>
  <c r="G556" i="4" s="1"/>
  <c r="F555" i="4"/>
  <c r="E555" i="4"/>
  <c r="D555" i="4"/>
  <c r="C555" i="4"/>
  <c r="B555" i="4"/>
  <c r="A555" i="4"/>
  <c r="H555" i="4" s="1"/>
  <c r="F554" i="4"/>
  <c r="E554" i="4"/>
  <c r="D554" i="4"/>
  <c r="C554" i="4"/>
  <c r="B554" i="4"/>
  <c r="A554" i="4"/>
  <c r="H554" i="4" s="1"/>
  <c r="F553" i="4"/>
  <c r="E553" i="4"/>
  <c r="D553" i="4"/>
  <c r="C553" i="4"/>
  <c r="B553" i="4"/>
  <c r="A553" i="4"/>
  <c r="H553" i="4" s="1"/>
  <c r="F552" i="4"/>
  <c r="E552" i="4"/>
  <c r="D552" i="4"/>
  <c r="C552" i="4"/>
  <c r="B552" i="4"/>
  <c r="A552" i="4"/>
  <c r="H552" i="4" s="1"/>
  <c r="F551" i="4"/>
  <c r="E551" i="4"/>
  <c r="D551" i="4"/>
  <c r="C551" i="4"/>
  <c r="B551" i="4"/>
  <c r="A551" i="4"/>
  <c r="G551" i="4" s="1"/>
  <c r="F550" i="4"/>
  <c r="E550" i="4"/>
  <c r="D550" i="4"/>
  <c r="C550" i="4"/>
  <c r="B550" i="4"/>
  <c r="A550" i="4"/>
  <c r="H550" i="4" s="1"/>
  <c r="F549" i="4"/>
  <c r="E549" i="4"/>
  <c r="D549" i="4"/>
  <c r="C549" i="4"/>
  <c r="B549" i="4"/>
  <c r="A549" i="4"/>
  <c r="H549" i="4" s="1"/>
  <c r="F548" i="4"/>
  <c r="E548" i="4"/>
  <c r="D548" i="4"/>
  <c r="C548" i="4"/>
  <c r="B548" i="4"/>
  <c r="A548" i="4"/>
  <c r="H548" i="4" s="1"/>
  <c r="F547" i="4"/>
  <c r="E547" i="4"/>
  <c r="D547" i="4"/>
  <c r="C547" i="4"/>
  <c r="B547" i="4"/>
  <c r="A547" i="4"/>
  <c r="H547" i="4" s="1"/>
  <c r="F546" i="4"/>
  <c r="E546" i="4"/>
  <c r="D546" i="4"/>
  <c r="C546" i="4"/>
  <c r="B546" i="4"/>
  <c r="A546" i="4"/>
  <c r="H546" i="4" s="1"/>
  <c r="F545" i="4"/>
  <c r="E545" i="4"/>
  <c r="D545" i="4"/>
  <c r="C545" i="4"/>
  <c r="B545" i="4"/>
  <c r="A545" i="4"/>
  <c r="G545" i="4" s="1"/>
  <c r="F544" i="4"/>
  <c r="E544" i="4"/>
  <c r="D544" i="4"/>
  <c r="C544" i="4"/>
  <c r="B544" i="4"/>
  <c r="A544" i="4"/>
  <c r="H544" i="4" s="1"/>
  <c r="F543" i="4"/>
  <c r="E543" i="4"/>
  <c r="D543" i="4"/>
  <c r="C543" i="4"/>
  <c r="B543" i="4"/>
  <c r="A543" i="4"/>
  <c r="H543" i="4" s="1"/>
  <c r="F542" i="4"/>
  <c r="E542" i="4"/>
  <c r="D542" i="4"/>
  <c r="C542" i="4"/>
  <c r="B542" i="4"/>
  <c r="A542" i="4"/>
  <c r="H542" i="4" s="1"/>
  <c r="F541" i="4"/>
  <c r="E541" i="4"/>
  <c r="D541" i="4"/>
  <c r="C541" i="4"/>
  <c r="B541" i="4"/>
  <c r="A541" i="4"/>
  <c r="H541" i="4" s="1"/>
  <c r="F540" i="4"/>
  <c r="E540" i="4"/>
  <c r="D540" i="4"/>
  <c r="C540" i="4"/>
  <c r="B540" i="4"/>
  <c r="A540" i="4"/>
  <c r="H540" i="4" s="1"/>
  <c r="F539" i="4"/>
  <c r="E539" i="4"/>
  <c r="D539" i="4"/>
  <c r="C539" i="4"/>
  <c r="B539" i="4"/>
  <c r="A539" i="4"/>
  <c r="H539" i="4" s="1"/>
  <c r="F538" i="4"/>
  <c r="E538" i="4"/>
  <c r="D538" i="4"/>
  <c r="C538" i="4"/>
  <c r="B538" i="4"/>
  <c r="A538" i="4"/>
  <c r="H538" i="4" s="1"/>
  <c r="F537" i="4"/>
  <c r="E537" i="4"/>
  <c r="D537" i="4"/>
  <c r="C537" i="4"/>
  <c r="B537" i="4"/>
  <c r="A537" i="4"/>
  <c r="H537" i="4" s="1"/>
  <c r="F536" i="4"/>
  <c r="E536" i="4"/>
  <c r="D536" i="4"/>
  <c r="C536" i="4"/>
  <c r="B536" i="4"/>
  <c r="A536" i="4"/>
  <c r="H536" i="4" s="1"/>
  <c r="F535" i="4"/>
  <c r="E535" i="4"/>
  <c r="D535" i="4"/>
  <c r="C535" i="4"/>
  <c r="B535" i="4"/>
  <c r="A535" i="4"/>
  <c r="H535" i="4" s="1"/>
  <c r="F534" i="4"/>
  <c r="E534" i="4"/>
  <c r="D534" i="4"/>
  <c r="C534" i="4"/>
  <c r="B534" i="4"/>
  <c r="A534" i="4"/>
  <c r="H534" i="4" s="1"/>
  <c r="F533" i="4"/>
  <c r="E533" i="4"/>
  <c r="D533" i="4"/>
  <c r="C533" i="4"/>
  <c r="B533" i="4"/>
  <c r="A533" i="4"/>
  <c r="H533" i="4" s="1"/>
  <c r="F532" i="4"/>
  <c r="E532" i="4"/>
  <c r="D532" i="4"/>
  <c r="C532" i="4"/>
  <c r="B532" i="4"/>
  <c r="A532" i="4"/>
  <c r="G532" i="4" s="1"/>
  <c r="F531" i="4"/>
  <c r="E531" i="4"/>
  <c r="D531" i="4"/>
  <c r="C531" i="4"/>
  <c r="B531" i="4"/>
  <c r="A531" i="4"/>
  <c r="H531" i="4" s="1"/>
  <c r="F530" i="4"/>
  <c r="E530" i="4"/>
  <c r="D530" i="4"/>
  <c r="C530" i="4"/>
  <c r="B530" i="4"/>
  <c r="A530" i="4"/>
  <c r="H530" i="4" s="1"/>
  <c r="F529" i="4"/>
  <c r="E529" i="4"/>
  <c r="D529" i="4"/>
  <c r="C529" i="4"/>
  <c r="B529" i="4"/>
  <c r="A529" i="4"/>
  <c r="G529" i="4" s="1"/>
  <c r="F528" i="4"/>
  <c r="E528" i="4"/>
  <c r="D528" i="4"/>
  <c r="C528" i="4"/>
  <c r="B528" i="4"/>
  <c r="A528" i="4"/>
  <c r="G528" i="4" s="1"/>
  <c r="F527" i="4"/>
  <c r="E527" i="4"/>
  <c r="D527" i="4"/>
  <c r="C527" i="4"/>
  <c r="B527" i="4"/>
  <c r="A527" i="4"/>
  <c r="H527" i="4" s="1"/>
  <c r="F526" i="4"/>
  <c r="E526" i="4"/>
  <c r="D526" i="4"/>
  <c r="C526" i="4"/>
  <c r="B526" i="4"/>
  <c r="A526" i="4"/>
  <c r="G526" i="4" s="1"/>
  <c r="F525" i="4"/>
  <c r="E525" i="4"/>
  <c r="D525" i="4"/>
  <c r="C525" i="4"/>
  <c r="B525" i="4"/>
  <c r="A525" i="4"/>
  <c r="H525" i="4" s="1"/>
  <c r="F524" i="4"/>
  <c r="E524" i="4"/>
  <c r="D524" i="4"/>
  <c r="C524" i="4"/>
  <c r="B524" i="4"/>
  <c r="A524" i="4"/>
  <c r="H524" i="4" s="1"/>
  <c r="F523" i="4"/>
  <c r="E523" i="4"/>
  <c r="D523" i="4"/>
  <c r="C523" i="4"/>
  <c r="B523" i="4"/>
  <c r="A523" i="4"/>
  <c r="G523" i="4" s="1"/>
  <c r="F522" i="4"/>
  <c r="E522" i="4"/>
  <c r="D522" i="4"/>
  <c r="C522" i="4"/>
  <c r="B522" i="4"/>
  <c r="A522" i="4"/>
  <c r="G522" i="4" s="1"/>
  <c r="F521" i="4"/>
  <c r="E521" i="4"/>
  <c r="D521" i="4"/>
  <c r="C521" i="4"/>
  <c r="B521" i="4"/>
  <c r="A521" i="4"/>
  <c r="H521" i="4" s="1"/>
  <c r="F520" i="4"/>
  <c r="E520" i="4"/>
  <c r="D520" i="4"/>
  <c r="C520" i="4"/>
  <c r="B520" i="4"/>
  <c r="A520" i="4"/>
  <c r="G520" i="4" s="1"/>
  <c r="F519" i="4"/>
  <c r="E519" i="4"/>
  <c r="D519" i="4"/>
  <c r="C519" i="4"/>
  <c r="B519" i="4"/>
  <c r="A519" i="4"/>
  <c r="G519" i="4" s="1"/>
  <c r="F518" i="4"/>
  <c r="E518" i="4"/>
  <c r="D518" i="4"/>
  <c r="C518" i="4"/>
  <c r="B518" i="4"/>
  <c r="A518" i="4"/>
  <c r="H518" i="4" s="1"/>
  <c r="F517" i="4"/>
  <c r="E517" i="4"/>
  <c r="D517" i="4"/>
  <c r="C517" i="4"/>
  <c r="B517" i="4"/>
  <c r="A517" i="4"/>
  <c r="G517" i="4" s="1"/>
  <c r="F516" i="4"/>
  <c r="E516" i="4"/>
  <c r="D516" i="4"/>
  <c r="C516" i="4"/>
  <c r="B516" i="4"/>
  <c r="A516" i="4"/>
  <c r="G516" i="4" s="1"/>
  <c r="F515" i="4"/>
  <c r="E515" i="4"/>
  <c r="D515" i="4"/>
  <c r="C515" i="4"/>
  <c r="B515" i="4"/>
  <c r="A515" i="4"/>
  <c r="H515" i="4" s="1"/>
  <c r="F514" i="4"/>
  <c r="E514" i="4"/>
  <c r="D514" i="4"/>
  <c r="C514" i="4"/>
  <c r="B514" i="4"/>
  <c r="A514" i="4"/>
  <c r="G514" i="4" s="1"/>
  <c r="F513" i="4"/>
  <c r="E513" i="4"/>
  <c r="D513" i="4"/>
  <c r="C513" i="4"/>
  <c r="B513" i="4"/>
  <c r="A513" i="4"/>
  <c r="H513" i="4" s="1"/>
  <c r="F512" i="4"/>
  <c r="E512" i="4"/>
  <c r="D512" i="4"/>
  <c r="C512" i="4"/>
  <c r="B512" i="4"/>
  <c r="A512" i="4"/>
  <c r="H512" i="4" s="1"/>
  <c r="F511" i="4"/>
  <c r="E511" i="4"/>
  <c r="D511" i="4"/>
  <c r="C511" i="4"/>
  <c r="B511" i="4"/>
  <c r="A511" i="4"/>
  <c r="G511" i="4" s="1"/>
  <c r="F510" i="4"/>
  <c r="E510" i="4"/>
  <c r="D510" i="4"/>
  <c r="C510" i="4"/>
  <c r="B510" i="4"/>
  <c r="A510" i="4"/>
  <c r="G510" i="4" s="1"/>
  <c r="F509" i="4"/>
  <c r="E509" i="4"/>
  <c r="D509" i="4"/>
  <c r="C509" i="4"/>
  <c r="B509" i="4"/>
  <c r="A509" i="4"/>
  <c r="H509" i="4" s="1"/>
  <c r="F508" i="4"/>
  <c r="E508" i="4"/>
  <c r="D508" i="4"/>
  <c r="C508" i="4"/>
  <c r="B508" i="4"/>
  <c r="A508" i="4"/>
  <c r="G508" i="4" s="1"/>
  <c r="F507" i="4"/>
  <c r="E507" i="4"/>
  <c r="D507" i="4"/>
  <c r="C507" i="4"/>
  <c r="B507" i="4"/>
  <c r="A507" i="4"/>
  <c r="H507" i="4" s="1"/>
  <c r="F506" i="4"/>
  <c r="E506" i="4"/>
  <c r="D506" i="4"/>
  <c r="C506" i="4"/>
  <c r="B506" i="4"/>
  <c r="A506" i="4"/>
  <c r="H506" i="4" s="1"/>
  <c r="F505" i="4"/>
  <c r="E505" i="4"/>
  <c r="D505" i="4"/>
  <c r="C505" i="4"/>
  <c r="B505" i="4"/>
  <c r="A505" i="4"/>
  <c r="G505" i="4" s="1"/>
  <c r="F504" i="4"/>
  <c r="E504" i="4"/>
  <c r="D504" i="4"/>
  <c r="C504" i="4"/>
  <c r="B504" i="4"/>
  <c r="A504" i="4"/>
  <c r="G504" i="4" s="1"/>
  <c r="F503" i="4"/>
  <c r="E503" i="4"/>
  <c r="D503" i="4"/>
  <c r="C503" i="4"/>
  <c r="B503" i="4"/>
  <c r="A503" i="4"/>
  <c r="H503" i="4" s="1"/>
  <c r="F502" i="4"/>
  <c r="E502" i="4"/>
  <c r="D502" i="4"/>
  <c r="C502" i="4"/>
  <c r="B502" i="4"/>
  <c r="A502" i="4"/>
  <c r="G502" i="4" s="1"/>
  <c r="F501" i="4"/>
  <c r="E501" i="4"/>
  <c r="D501" i="4"/>
  <c r="C501" i="4"/>
  <c r="B501" i="4"/>
  <c r="A501" i="4"/>
  <c r="H501" i="4" s="1"/>
  <c r="F500" i="4"/>
  <c r="E500" i="4"/>
  <c r="D500" i="4"/>
  <c r="C500" i="4"/>
  <c r="B500" i="4"/>
  <c r="A500" i="4"/>
  <c r="H500" i="4" s="1"/>
  <c r="F499" i="4"/>
  <c r="E499" i="4"/>
  <c r="D499" i="4"/>
  <c r="C499" i="4"/>
  <c r="B499" i="4"/>
  <c r="A499" i="4"/>
  <c r="G499" i="4" s="1"/>
  <c r="F498" i="4"/>
  <c r="E498" i="4"/>
  <c r="D498" i="4"/>
  <c r="C498" i="4"/>
  <c r="B498" i="4"/>
  <c r="A498" i="4"/>
  <c r="G498" i="4" s="1"/>
  <c r="F497" i="4"/>
  <c r="E497" i="4"/>
  <c r="D497" i="4"/>
  <c r="C497" i="4"/>
  <c r="B497" i="4"/>
  <c r="A497" i="4"/>
  <c r="H497" i="4" s="1"/>
  <c r="F496" i="4"/>
  <c r="E496" i="4"/>
  <c r="D496" i="4"/>
  <c r="C496" i="4"/>
  <c r="B496" i="4"/>
  <c r="A496" i="4"/>
  <c r="G496" i="4" s="1"/>
  <c r="F495" i="4"/>
  <c r="E495" i="4"/>
  <c r="D495" i="4"/>
  <c r="C495" i="4"/>
  <c r="B495" i="4"/>
  <c r="A495" i="4"/>
  <c r="G495" i="4" s="1"/>
  <c r="F494" i="4"/>
  <c r="E494" i="4"/>
  <c r="D494" i="4"/>
  <c r="C494" i="4"/>
  <c r="B494" i="4"/>
  <c r="A494" i="4"/>
  <c r="H494" i="4" s="1"/>
  <c r="F493" i="4"/>
  <c r="E493" i="4"/>
  <c r="D493" i="4"/>
  <c r="C493" i="4"/>
  <c r="B493" i="4"/>
  <c r="A493" i="4"/>
  <c r="G493" i="4" s="1"/>
  <c r="F492" i="4"/>
  <c r="E492" i="4"/>
  <c r="D492" i="4"/>
  <c r="C492" i="4"/>
  <c r="B492" i="4"/>
  <c r="A492" i="4"/>
  <c r="H492" i="4" s="1"/>
  <c r="F491" i="4"/>
  <c r="E491" i="4"/>
  <c r="D491" i="4"/>
  <c r="C491" i="4"/>
  <c r="B491" i="4"/>
  <c r="A491" i="4"/>
  <c r="H491" i="4" s="1"/>
  <c r="F490" i="4"/>
  <c r="E490" i="4"/>
  <c r="D490" i="4"/>
  <c r="C490" i="4"/>
  <c r="B490" i="4"/>
  <c r="A490" i="4"/>
  <c r="G490" i="4" s="1"/>
  <c r="F489" i="4"/>
  <c r="E489" i="4"/>
  <c r="D489" i="4"/>
  <c r="C489" i="4"/>
  <c r="B489" i="4"/>
  <c r="A489" i="4"/>
  <c r="H489" i="4" s="1"/>
  <c r="F488" i="4"/>
  <c r="E488" i="4"/>
  <c r="D488" i="4"/>
  <c r="C488" i="4"/>
  <c r="B488" i="4"/>
  <c r="A488" i="4"/>
  <c r="H488" i="4" s="1"/>
  <c r="F487" i="4"/>
  <c r="E487" i="4"/>
  <c r="D487" i="4"/>
  <c r="C487" i="4"/>
  <c r="B487" i="4"/>
  <c r="A487" i="4"/>
  <c r="G487" i="4" s="1"/>
  <c r="F486" i="4"/>
  <c r="E486" i="4"/>
  <c r="D486" i="4"/>
  <c r="C486" i="4"/>
  <c r="B486" i="4"/>
  <c r="A486" i="4"/>
  <c r="H486" i="4" s="1"/>
  <c r="F485" i="4"/>
  <c r="E485" i="4"/>
  <c r="D485" i="4"/>
  <c r="C485" i="4"/>
  <c r="B485" i="4"/>
  <c r="A485" i="4"/>
  <c r="H485" i="4" s="1"/>
  <c r="F484" i="4"/>
  <c r="E484" i="4"/>
  <c r="D484" i="4"/>
  <c r="C484" i="4"/>
  <c r="B484" i="4"/>
  <c r="A484" i="4"/>
  <c r="G484" i="4" s="1"/>
  <c r="F483" i="4"/>
  <c r="E483" i="4"/>
  <c r="D483" i="4"/>
  <c r="C483" i="4"/>
  <c r="B483" i="4"/>
  <c r="A483" i="4"/>
  <c r="H483" i="4" s="1"/>
  <c r="F482" i="4"/>
  <c r="E482" i="4"/>
  <c r="D482" i="4"/>
  <c r="C482" i="4"/>
  <c r="B482" i="4"/>
  <c r="A482" i="4"/>
  <c r="H482" i="4" s="1"/>
  <c r="F481" i="4"/>
  <c r="E481" i="4"/>
  <c r="D481" i="4"/>
  <c r="C481" i="4"/>
  <c r="B481" i="4"/>
  <c r="A481" i="4"/>
  <c r="G481" i="4" s="1"/>
  <c r="F480" i="4"/>
  <c r="E480" i="4"/>
  <c r="D480" i="4"/>
  <c r="C480" i="4"/>
  <c r="B480" i="4"/>
  <c r="A480" i="4"/>
  <c r="H480" i="4" s="1"/>
  <c r="F479" i="4"/>
  <c r="E479" i="4"/>
  <c r="D479" i="4"/>
  <c r="C479" i="4"/>
  <c r="B479" i="4"/>
  <c r="A479" i="4"/>
  <c r="H479" i="4" s="1"/>
  <c r="F478" i="4"/>
  <c r="E478" i="4"/>
  <c r="D478" i="4"/>
  <c r="C478" i="4"/>
  <c r="B478" i="4"/>
  <c r="A478" i="4"/>
  <c r="G478" i="4" s="1"/>
  <c r="F477" i="4"/>
  <c r="E477" i="4"/>
  <c r="D477" i="4"/>
  <c r="C477" i="4"/>
  <c r="B477" i="4"/>
  <c r="A477" i="4"/>
  <c r="H477" i="4" s="1"/>
  <c r="F476" i="4"/>
  <c r="E476" i="4"/>
  <c r="D476" i="4"/>
  <c r="C476" i="4"/>
  <c r="B476" i="4"/>
  <c r="A476" i="4"/>
  <c r="F475" i="4"/>
  <c r="E475" i="4"/>
  <c r="D475" i="4"/>
  <c r="C475" i="4"/>
  <c r="B475" i="4"/>
  <c r="A475" i="4"/>
  <c r="G475" i="4" s="1"/>
  <c r="F474" i="4"/>
  <c r="E474" i="4"/>
  <c r="D474" i="4"/>
  <c r="C474" i="4"/>
  <c r="B474" i="4"/>
  <c r="A474" i="4"/>
  <c r="H474" i="4" s="1"/>
  <c r="F473" i="4"/>
  <c r="E473" i="4"/>
  <c r="D473" i="4"/>
  <c r="C473" i="4"/>
  <c r="B473" i="4"/>
  <c r="A473" i="4"/>
  <c r="F472" i="4"/>
  <c r="E472" i="4"/>
  <c r="D472" i="4"/>
  <c r="C472" i="4"/>
  <c r="B472" i="4"/>
  <c r="A472" i="4"/>
  <c r="G472" i="4" s="1"/>
  <c r="F471" i="4"/>
  <c r="E471" i="4"/>
  <c r="D471" i="4"/>
  <c r="C471" i="4"/>
  <c r="B471" i="4"/>
  <c r="A471" i="4"/>
  <c r="H471" i="4" s="1"/>
  <c r="F470" i="4"/>
  <c r="E470" i="4"/>
  <c r="D470" i="4"/>
  <c r="C470" i="4"/>
  <c r="B470" i="4"/>
  <c r="A470" i="4"/>
  <c r="F469" i="4"/>
  <c r="E469" i="4"/>
  <c r="D469" i="4"/>
  <c r="C469" i="4"/>
  <c r="B469" i="4"/>
  <c r="A469" i="4"/>
  <c r="G469" i="4" s="1"/>
  <c r="F468" i="4"/>
  <c r="E468" i="4"/>
  <c r="D468" i="4"/>
  <c r="C468" i="4"/>
  <c r="B468" i="4"/>
  <c r="A468" i="4"/>
  <c r="H468" i="4" s="1"/>
  <c r="F467" i="4"/>
  <c r="E467" i="4"/>
  <c r="D467" i="4"/>
  <c r="C467" i="4"/>
  <c r="B467" i="4"/>
  <c r="A467" i="4"/>
  <c r="F466" i="4"/>
  <c r="E466" i="4"/>
  <c r="D466" i="4"/>
  <c r="C466" i="4"/>
  <c r="B466" i="4"/>
  <c r="A466" i="4"/>
  <c r="G466" i="4" s="1"/>
  <c r="F465" i="4"/>
  <c r="E465" i="4"/>
  <c r="D465" i="4"/>
  <c r="C465" i="4"/>
  <c r="B465" i="4"/>
  <c r="A465" i="4"/>
  <c r="H465" i="4" s="1"/>
  <c r="F464" i="4"/>
  <c r="E464" i="4"/>
  <c r="D464" i="4"/>
  <c r="C464" i="4"/>
  <c r="B464" i="4"/>
  <c r="A464" i="4"/>
  <c r="F463" i="4"/>
  <c r="E463" i="4"/>
  <c r="D463" i="4"/>
  <c r="C463" i="4"/>
  <c r="B463" i="4"/>
  <c r="A463" i="4"/>
  <c r="G463" i="4" s="1"/>
  <c r="F462" i="4"/>
  <c r="E462" i="4"/>
  <c r="D462" i="4"/>
  <c r="C462" i="4"/>
  <c r="B462" i="4"/>
  <c r="A462" i="4"/>
  <c r="H462" i="4" s="1"/>
  <c r="F461" i="4"/>
  <c r="E461" i="4"/>
  <c r="D461" i="4"/>
  <c r="C461" i="4"/>
  <c r="B461" i="4"/>
  <c r="A461" i="4"/>
  <c r="F460" i="4"/>
  <c r="E460" i="4"/>
  <c r="D460" i="4"/>
  <c r="C460" i="4"/>
  <c r="B460" i="4"/>
  <c r="A460" i="4"/>
  <c r="G460" i="4" s="1"/>
  <c r="F459" i="4"/>
  <c r="E459" i="4"/>
  <c r="D459" i="4"/>
  <c r="C459" i="4"/>
  <c r="B459" i="4"/>
  <c r="A459" i="4"/>
  <c r="H459" i="4" s="1"/>
  <c r="F458" i="4"/>
  <c r="E458" i="4"/>
  <c r="D458" i="4"/>
  <c r="C458" i="4"/>
  <c r="B458" i="4"/>
  <c r="A458" i="4"/>
  <c r="F457" i="4"/>
  <c r="E457" i="4"/>
  <c r="D457" i="4"/>
  <c r="C457" i="4"/>
  <c r="B457" i="4"/>
  <c r="A457" i="4"/>
  <c r="G457" i="4" s="1"/>
  <c r="F456" i="4"/>
  <c r="E456" i="4"/>
  <c r="D456" i="4"/>
  <c r="C456" i="4"/>
  <c r="B456" i="4"/>
  <c r="A456" i="4"/>
  <c r="H456" i="4" s="1"/>
  <c r="F455" i="4"/>
  <c r="E455" i="4"/>
  <c r="D455" i="4"/>
  <c r="C455" i="4"/>
  <c r="B455" i="4"/>
  <c r="A455" i="4"/>
  <c r="F454" i="4"/>
  <c r="E454" i="4"/>
  <c r="D454" i="4"/>
  <c r="C454" i="4"/>
  <c r="B454" i="4"/>
  <c r="A454" i="4"/>
  <c r="G454" i="4" s="1"/>
  <c r="F453" i="4"/>
  <c r="E453" i="4"/>
  <c r="D453" i="4"/>
  <c r="C453" i="4"/>
  <c r="B453" i="4"/>
  <c r="A453" i="4"/>
  <c r="H453" i="4" s="1"/>
  <c r="F452" i="4"/>
  <c r="E452" i="4"/>
  <c r="D452" i="4"/>
  <c r="C452" i="4"/>
  <c r="B452" i="4"/>
  <c r="A452" i="4"/>
  <c r="F451" i="4"/>
  <c r="E451" i="4"/>
  <c r="D451" i="4"/>
  <c r="C451" i="4"/>
  <c r="B451" i="4"/>
  <c r="A451" i="4"/>
  <c r="G451" i="4" s="1"/>
  <c r="F450" i="4"/>
  <c r="E450" i="4"/>
  <c r="D450" i="4"/>
  <c r="C450" i="4"/>
  <c r="B450" i="4"/>
  <c r="A450" i="4"/>
  <c r="H450" i="4" s="1"/>
  <c r="F449" i="4"/>
  <c r="E449" i="4"/>
  <c r="D449" i="4"/>
  <c r="C449" i="4"/>
  <c r="B449" i="4"/>
  <c r="A449" i="4"/>
  <c r="F448" i="4"/>
  <c r="E448" i="4"/>
  <c r="D448" i="4"/>
  <c r="C448" i="4"/>
  <c r="B448" i="4"/>
  <c r="A448" i="4"/>
  <c r="G448" i="4" s="1"/>
  <c r="F447" i="4"/>
  <c r="E447" i="4"/>
  <c r="D447" i="4"/>
  <c r="C447" i="4"/>
  <c r="B447" i="4"/>
  <c r="A447" i="4"/>
  <c r="H447" i="4" s="1"/>
  <c r="F446" i="4"/>
  <c r="E446" i="4"/>
  <c r="D446" i="4"/>
  <c r="C446" i="4"/>
  <c r="B446" i="4"/>
  <c r="A446" i="4"/>
  <c r="F445" i="4"/>
  <c r="E445" i="4"/>
  <c r="D445" i="4"/>
  <c r="C445" i="4"/>
  <c r="B445" i="4"/>
  <c r="A445" i="4"/>
  <c r="G445" i="4" s="1"/>
  <c r="F444" i="4"/>
  <c r="E444" i="4"/>
  <c r="D444" i="4"/>
  <c r="C444" i="4"/>
  <c r="B444" i="4"/>
  <c r="A444" i="4"/>
  <c r="H444" i="4" s="1"/>
  <c r="F443" i="4"/>
  <c r="E443" i="4"/>
  <c r="D443" i="4"/>
  <c r="C443" i="4"/>
  <c r="B443" i="4"/>
  <c r="A443" i="4"/>
  <c r="F442" i="4"/>
  <c r="E442" i="4"/>
  <c r="D442" i="4"/>
  <c r="C442" i="4"/>
  <c r="B442" i="4"/>
  <c r="A442" i="4"/>
  <c r="G442" i="4" s="1"/>
  <c r="F441" i="4"/>
  <c r="E441" i="4"/>
  <c r="D441" i="4"/>
  <c r="C441" i="4"/>
  <c r="B441" i="4"/>
  <c r="A441" i="4"/>
  <c r="H441" i="4" s="1"/>
  <c r="F440" i="4"/>
  <c r="E440" i="4"/>
  <c r="D440" i="4"/>
  <c r="C440" i="4"/>
  <c r="B440" i="4"/>
  <c r="A440" i="4"/>
  <c r="F439" i="4"/>
  <c r="E439" i="4"/>
  <c r="D439" i="4"/>
  <c r="C439" i="4"/>
  <c r="B439" i="4"/>
  <c r="A439" i="4"/>
  <c r="G439" i="4" s="1"/>
  <c r="F438" i="4"/>
  <c r="E438" i="4"/>
  <c r="D438" i="4"/>
  <c r="C438" i="4"/>
  <c r="B438" i="4"/>
  <c r="A438" i="4"/>
  <c r="H438" i="4" s="1"/>
  <c r="F437" i="4"/>
  <c r="E437" i="4"/>
  <c r="D437" i="4"/>
  <c r="C437" i="4"/>
  <c r="B437" i="4"/>
  <c r="A437" i="4"/>
  <c r="F436" i="4"/>
  <c r="E436" i="4"/>
  <c r="D436" i="4"/>
  <c r="C436" i="4"/>
  <c r="B436" i="4"/>
  <c r="A436" i="4"/>
  <c r="G436" i="4" s="1"/>
  <c r="F435" i="4"/>
  <c r="E435" i="4"/>
  <c r="D435" i="4"/>
  <c r="C435" i="4"/>
  <c r="B435" i="4"/>
  <c r="A435" i="4"/>
  <c r="H435" i="4" s="1"/>
  <c r="F434" i="4"/>
  <c r="E434" i="4"/>
  <c r="D434" i="4"/>
  <c r="C434" i="4"/>
  <c r="B434" i="4"/>
  <c r="A434" i="4"/>
  <c r="F433" i="4"/>
  <c r="E433" i="4"/>
  <c r="D433" i="4"/>
  <c r="C433" i="4"/>
  <c r="B433" i="4"/>
  <c r="A433" i="4"/>
  <c r="G433" i="4" s="1"/>
  <c r="F432" i="4"/>
  <c r="E432" i="4"/>
  <c r="D432" i="4"/>
  <c r="C432" i="4"/>
  <c r="B432" i="4"/>
  <c r="A432" i="4"/>
  <c r="H432" i="4" s="1"/>
  <c r="F431" i="4"/>
  <c r="E431" i="4"/>
  <c r="D431" i="4"/>
  <c r="C431" i="4"/>
  <c r="B431" i="4"/>
  <c r="A431" i="4"/>
  <c r="F430" i="4"/>
  <c r="E430" i="4"/>
  <c r="D430" i="4"/>
  <c r="C430" i="4"/>
  <c r="B430" i="4"/>
  <c r="A430" i="4"/>
  <c r="G430" i="4" s="1"/>
  <c r="F429" i="4"/>
  <c r="E429" i="4"/>
  <c r="D429" i="4"/>
  <c r="C429" i="4"/>
  <c r="B429" i="4"/>
  <c r="A429" i="4"/>
  <c r="H429" i="4" s="1"/>
  <c r="F428" i="4"/>
  <c r="E428" i="4"/>
  <c r="D428" i="4"/>
  <c r="C428" i="4"/>
  <c r="B428" i="4"/>
  <c r="A428" i="4"/>
  <c r="F427" i="4"/>
  <c r="E427" i="4"/>
  <c r="D427" i="4"/>
  <c r="C427" i="4"/>
  <c r="B427" i="4"/>
  <c r="A427" i="4"/>
  <c r="G427" i="4" s="1"/>
  <c r="F426" i="4"/>
  <c r="E426" i="4"/>
  <c r="D426" i="4"/>
  <c r="C426" i="4"/>
  <c r="B426" i="4"/>
  <c r="A426" i="4"/>
  <c r="H426" i="4" s="1"/>
  <c r="F425" i="4"/>
  <c r="E425" i="4"/>
  <c r="D425" i="4"/>
  <c r="C425" i="4"/>
  <c r="B425" i="4"/>
  <c r="A425" i="4"/>
  <c r="F424" i="4"/>
  <c r="E424" i="4"/>
  <c r="D424" i="4"/>
  <c r="C424" i="4"/>
  <c r="B424" i="4"/>
  <c r="A424" i="4"/>
  <c r="G424" i="4" s="1"/>
  <c r="F423" i="4"/>
  <c r="E423" i="4"/>
  <c r="D423" i="4"/>
  <c r="C423" i="4"/>
  <c r="B423" i="4"/>
  <c r="A423" i="4"/>
  <c r="H423" i="4" s="1"/>
  <c r="F422" i="4"/>
  <c r="E422" i="4"/>
  <c r="D422" i="4"/>
  <c r="C422" i="4"/>
  <c r="B422" i="4"/>
  <c r="A422" i="4"/>
  <c r="F421" i="4"/>
  <c r="E421" i="4"/>
  <c r="D421" i="4"/>
  <c r="C421" i="4"/>
  <c r="B421" i="4"/>
  <c r="A421" i="4"/>
  <c r="G421" i="4" s="1"/>
  <c r="F420" i="4"/>
  <c r="E420" i="4"/>
  <c r="D420" i="4"/>
  <c r="C420" i="4"/>
  <c r="B420" i="4"/>
  <c r="A420" i="4"/>
  <c r="H420" i="4" s="1"/>
  <c r="F419" i="4"/>
  <c r="E419" i="4"/>
  <c r="D419" i="4"/>
  <c r="C419" i="4"/>
  <c r="B419" i="4"/>
  <c r="A419" i="4"/>
  <c r="F418" i="4"/>
  <c r="E418" i="4"/>
  <c r="D418" i="4"/>
  <c r="C418" i="4"/>
  <c r="B418" i="4"/>
  <c r="A418" i="4"/>
  <c r="G418" i="4" s="1"/>
  <c r="F417" i="4"/>
  <c r="E417" i="4"/>
  <c r="D417" i="4"/>
  <c r="C417" i="4"/>
  <c r="B417" i="4"/>
  <c r="A417" i="4"/>
  <c r="H417" i="4" s="1"/>
  <c r="F416" i="4"/>
  <c r="E416" i="4"/>
  <c r="D416" i="4"/>
  <c r="C416" i="4"/>
  <c r="B416" i="4"/>
  <c r="A416" i="4"/>
  <c r="F415" i="4"/>
  <c r="E415" i="4"/>
  <c r="D415" i="4"/>
  <c r="C415" i="4"/>
  <c r="B415" i="4"/>
  <c r="A415" i="4"/>
  <c r="G415" i="4" s="1"/>
  <c r="F414" i="4"/>
  <c r="E414" i="4"/>
  <c r="D414" i="4"/>
  <c r="C414" i="4"/>
  <c r="B414" i="4"/>
  <c r="A414" i="4"/>
  <c r="H414" i="4" s="1"/>
  <c r="F413" i="4"/>
  <c r="E413" i="4"/>
  <c r="D413" i="4"/>
  <c r="C413" i="4"/>
  <c r="B413" i="4"/>
  <c r="A413" i="4"/>
  <c r="F412" i="4"/>
  <c r="E412" i="4"/>
  <c r="D412" i="4"/>
  <c r="C412" i="4"/>
  <c r="B412" i="4"/>
  <c r="A412" i="4"/>
  <c r="G412" i="4" s="1"/>
  <c r="F411" i="4"/>
  <c r="E411" i="4"/>
  <c r="D411" i="4"/>
  <c r="C411" i="4"/>
  <c r="B411" i="4"/>
  <c r="A411" i="4"/>
  <c r="H411" i="4" s="1"/>
  <c r="F410" i="4"/>
  <c r="E410" i="4"/>
  <c r="D410" i="4"/>
  <c r="C410" i="4"/>
  <c r="B410" i="4"/>
  <c r="A410" i="4"/>
  <c r="F409" i="4"/>
  <c r="E409" i="4"/>
  <c r="D409" i="4"/>
  <c r="C409" i="4"/>
  <c r="B409" i="4"/>
  <c r="A409" i="4"/>
  <c r="G409" i="4" s="1"/>
  <c r="F408" i="4"/>
  <c r="E408" i="4"/>
  <c r="D408" i="4"/>
  <c r="C408" i="4"/>
  <c r="B408" i="4"/>
  <c r="A408" i="4"/>
  <c r="H408" i="4" s="1"/>
  <c r="F407" i="4"/>
  <c r="E407" i="4"/>
  <c r="D407" i="4"/>
  <c r="C407" i="4"/>
  <c r="B407" i="4"/>
  <c r="A407" i="4"/>
  <c r="F406" i="4"/>
  <c r="E406" i="4"/>
  <c r="D406" i="4"/>
  <c r="C406" i="4"/>
  <c r="B406" i="4"/>
  <c r="A406" i="4"/>
  <c r="G406" i="4" s="1"/>
  <c r="F405" i="4"/>
  <c r="E405" i="4"/>
  <c r="D405" i="4"/>
  <c r="C405" i="4"/>
  <c r="B405" i="4"/>
  <c r="A405" i="4"/>
  <c r="H405" i="4" s="1"/>
  <c r="F404" i="4"/>
  <c r="E404" i="4"/>
  <c r="D404" i="4"/>
  <c r="C404" i="4"/>
  <c r="B404" i="4"/>
  <c r="A404" i="4"/>
  <c r="F403" i="4"/>
  <c r="E403" i="4"/>
  <c r="D403" i="4"/>
  <c r="C403" i="4"/>
  <c r="B403" i="4"/>
  <c r="A403" i="4"/>
  <c r="G403" i="4" s="1"/>
  <c r="F402" i="4"/>
  <c r="E402" i="4"/>
  <c r="D402" i="4"/>
  <c r="C402" i="4"/>
  <c r="B402" i="4"/>
  <c r="A402" i="4"/>
  <c r="H402" i="4" s="1"/>
  <c r="F401" i="4"/>
  <c r="E401" i="4"/>
  <c r="D401" i="4"/>
  <c r="C401" i="4"/>
  <c r="B401" i="4"/>
  <c r="A401" i="4"/>
  <c r="F400" i="4"/>
  <c r="E400" i="4"/>
  <c r="D400" i="4"/>
  <c r="C400" i="4"/>
  <c r="B400" i="4"/>
  <c r="A400" i="4"/>
  <c r="G400" i="4" s="1"/>
  <c r="F399" i="4"/>
  <c r="E399" i="4"/>
  <c r="D399" i="4"/>
  <c r="C399" i="4"/>
  <c r="B399" i="4"/>
  <c r="A399" i="4"/>
  <c r="H399" i="4" s="1"/>
  <c r="F398" i="4"/>
  <c r="E398" i="4"/>
  <c r="D398" i="4"/>
  <c r="C398" i="4"/>
  <c r="B398" i="4"/>
  <c r="A398" i="4"/>
  <c r="F397" i="4"/>
  <c r="E397" i="4"/>
  <c r="D397" i="4"/>
  <c r="C397" i="4"/>
  <c r="B397" i="4"/>
  <c r="A397" i="4"/>
  <c r="G397" i="4" s="1"/>
  <c r="F396" i="4"/>
  <c r="E396" i="4"/>
  <c r="D396" i="4"/>
  <c r="C396" i="4"/>
  <c r="B396" i="4"/>
  <c r="A396" i="4"/>
  <c r="H396" i="4" s="1"/>
  <c r="F395" i="4"/>
  <c r="E395" i="4"/>
  <c r="D395" i="4"/>
  <c r="C395" i="4"/>
  <c r="B395" i="4"/>
  <c r="A395" i="4"/>
  <c r="F394" i="4"/>
  <c r="E394" i="4"/>
  <c r="D394" i="4"/>
  <c r="C394" i="4"/>
  <c r="B394" i="4"/>
  <c r="A394" i="4"/>
  <c r="G394" i="4" s="1"/>
  <c r="F393" i="4"/>
  <c r="E393" i="4"/>
  <c r="D393" i="4"/>
  <c r="C393" i="4"/>
  <c r="B393" i="4"/>
  <c r="A393" i="4"/>
  <c r="H393" i="4" s="1"/>
  <c r="F392" i="4"/>
  <c r="E392" i="4"/>
  <c r="D392" i="4"/>
  <c r="C392" i="4"/>
  <c r="B392" i="4"/>
  <c r="A392" i="4"/>
  <c r="F391" i="4"/>
  <c r="E391" i="4"/>
  <c r="D391" i="4"/>
  <c r="C391" i="4"/>
  <c r="B391" i="4"/>
  <c r="A391" i="4"/>
  <c r="G391" i="4" s="1"/>
  <c r="F390" i="4"/>
  <c r="E390" i="4"/>
  <c r="D390" i="4"/>
  <c r="C390" i="4"/>
  <c r="B390" i="4"/>
  <c r="A390" i="4"/>
  <c r="H390" i="4" s="1"/>
  <c r="F389" i="4"/>
  <c r="E389" i="4"/>
  <c r="D389" i="4"/>
  <c r="C389" i="4"/>
  <c r="B389" i="4"/>
  <c r="A389" i="4"/>
  <c r="F388" i="4"/>
  <c r="E388" i="4"/>
  <c r="D388" i="4"/>
  <c r="C388" i="4"/>
  <c r="B388" i="4"/>
  <c r="A388" i="4"/>
  <c r="G388" i="4" s="1"/>
  <c r="F387" i="4"/>
  <c r="E387" i="4"/>
  <c r="D387" i="4"/>
  <c r="C387" i="4"/>
  <c r="B387" i="4"/>
  <c r="A387" i="4"/>
  <c r="H387" i="4" s="1"/>
  <c r="F386" i="4"/>
  <c r="E386" i="4"/>
  <c r="D386" i="4"/>
  <c r="C386" i="4"/>
  <c r="B386" i="4"/>
  <c r="A386" i="4"/>
  <c r="F385" i="4"/>
  <c r="E385" i="4"/>
  <c r="D385" i="4"/>
  <c r="C385" i="4"/>
  <c r="B385" i="4"/>
  <c r="A385" i="4"/>
  <c r="H385" i="4" s="1"/>
  <c r="F384" i="4"/>
  <c r="E384" i="4"/>
  <c r="D384" i="4"/>
  <c r="C384" i="4"/>
  <c r="B384" i="4"/>
  <c r="A384" i="4"/>
  <c r="H384" i="4" s="1"/>
  <c r="F383" i="4"/>
  <c r="E383" i="4"/>
  <c r="D383" i="4"/>
  <c r="C383" i="4"/>
  <c r="B383" i="4"/>
  <c r="A383" i="4"/>
  <c r="F382" i="4"/>
  <c r="E382" i="4"/>
  <c r="D382" i="4"/>
  <c r="C382" i="4"/>
  <c r="B382" i="4"/>
  <c r="A382" i="4"/>
  <c r="H382" i="4" s="1"/>
  <c r="F381" i="4"/>
  <c r="E381" i="4"/>
  <c r="D381" i="4"/>
  <c r="C381" i="4"/>
  <c r="B381" i="4"/>
  <c r="A381" i="4"/>
  <c r="H381" i="4" s="1"/>
  <c r="F380" i="4"/>
  <c r="E380" i="4"/>
  <c r="D380" i="4"/>
  <c r="C380" i="4"/>
  <c r="B380" i="4"/>
  <c r="A380" i="4"/>
  <c r="F379" i="4"/>
  <c r="E379" i="4"/>
  <c r="D379" i="4"/>
  <c r="C379" i="4"/>
  <c r="B379" i="4"/>
  <c r="A379" i="4"/>
  <c r="H379" i="4" s="1"/>
  <c r="F378" i="4"/>
  <c r="E378" i="4"/>
  <c r="D378" i="4"/>
  <c r="C378" i="4"/>
  <c r="B378" i="4"/>
  <c r="A378" i="4"/>
  <c r="H378" i="4" s="1"/>
  <c r="F377" i="4"/>
  <c r="E377" i="4"/>
  <c r="D377" i="4"/>
  <c r="C377" i="4"/>
  <c r="B377" i="4"/>
  <c r="A377" i="4"/>
  <c r="H377" i="4" s="1"/>
  <c r="F376" i="4"/>
  <c r="E376" i="4"/>
  <c r="D376" i="4"/>
  <c r="C376" i="4"/>
  <c r="B376" i="4"/>
  <c r="A376" i="4"/>
  <c r="H376" i="4" s="1"/>
  <c r="F375" i="4"/>
  <c r="E375" i="4"/>
  <c r="D375" i="4"/>
  <c r="C375" i="4"/>
  <c r="B375" i="4"/>
  <c r="A375" i="4"/>
  <c r="H375" i="4" s="1"/>
  <c r="F374" i="4"/>
  <c r="E374" i="4"/>
  <c r="D374" i="4"/>
  <c r="C374" i="4"/>
  <c r="B374" i="4"/>
  <c r="A374" i="4"/>
  <c r="H374" i="4" s="1"/>
  <c r="F373" i="4"/>
  <c r="E373" i="4"/>
  <c r="D373" i="4"/>
  <c r="C373" i="4"/>
  <c r="B373" i="4"/>
  <c r="A373" i="4"/>
  <c r="H373" i="4" s="1"/>
  <c r="F372" i="4"/>
  <c r="E372" i="4"/>
  <c r="D372" i="4"/>
  <c r="C372" i="4"/>
  <c r="B372" i="4"/>
  <c r="A372" i="4"/>
  <c r="H372" i="4" s="1"/>
  <c r="F371" i="4"/>
  <c r="E371" i="4"/>
  <c r="D371" i="4"/>
  <c r="C371" i="4"/>
  <c r="B371" i="4"/>
  <c r="A371" i="4"/>
  <c r="H371" i="4" s="1"/>
  <c r="F370" i="4"/>
  <c r="E370" i="4"/>
  <c r="D370" i="4"/>
  <c r="C370" i="4"/>
  <c r="B370" i="4"/>
  <c r="A370" i="4"/>
  <c r="G370" i="4" s="1"/>
  <c r="F369" i="4"/>
  <c r="E369" i="4"/>
  <c r="D369" i="4"/>
  <c r="C369" i="4"/>
  <c r="B369" i="4"/>
  <c r="A369" i="4"/>
  <c r="H369" i="4" s="1"/>
  <c r="F368" i="4"/>
  <c r="E368" i="4"/>
  <c r="D368" i="4"/>
  <c r="C368" i="4"/>
  <c r="B368" i="4"/>
  <c r="A368" i="4"/>
  <c r="H368" i="4" s="1"/>
  <c r="F367" i="4"/>
  <c r="E367" i="4"/>
  <c r="D367" i="4"/>
  <c r="C367" i="4"/>
  <c r="B367" i="4"/>
  <c r="A367" i="4"/>
  <c r="H367" i="4" s="1"/>
  <c r="F366" i="4"/>
  <c r="E366" i="4"/>
  <c r="D366" i="4"/>
  <c r="C366" i="4"/>
  <c r="B366" i="4"/>
  <c r="A366" i="4"/>
  <c r="H366" i="4" s="1"/>
  <c r="F365" i="4"/>
  <c r="E365" i="4"/>
  <c r="D365" i="4"/>
  <c r="C365" i="4"/>
  <c r="B365" i="4"/>
  <c r="A365" i="4"/>
  <c r="H365" i="4" s="1"/>
  <c r="F364" i="4"/>
  <c r="E364" i="4"/>
  <c r="D364" i="4"/>
  <c r="C364" i="4"/>
  <c r="B364" i="4"/>
  <c r="A364" i="4"/>
  <c r="H364" i="4" s="1"/>
  <c r="F363" i="4"/>
  <c r="E363" i="4"/>
  <c r="D363" i="4"/>
  <c r="C363" i="4"/>
  <c r="B363" i="4"/>
  <c r="A363" i="4"/>
  <c r="G363" i="4" s="1"/>
  <c r="F362" i="4"/>
  <c r="E362" i="4"/>
  <c r="D362" i="4"/>
  <c r="C362" i="4"/>
  <c r="B362" i="4"/>
  <c r="A362" i="4"/>
  <c r="H362" i="4" s="1"/>
  <c r="F361" i="4"/>
  <c r="E361" i="4"/>
  <c r="D361" i="4"/>
  <c r="C361" i="4"/>
  <c r="B361" i="4"/>
  <c r="A361" i="4"/>
  <c r="H361" i="4" s="1"/>
  <c r="F360" i="4"/>
  <c r="E360" i="4"/>
  <c r="D360" i="4"/>
  <c r="C360" i="4"/>
  <c r="B360" i="4"/>
  <c r="A360" i="4"/>
  <c r="H360" i="4" s="1"/>
  <c r="F359" i="4"/>
  <c r="E359" i="4"/>
  <c r="D359" i="4"/>
  <c r="C359" i="4"/>
  <c r="B359" i="4"/>
  <c r="A359" i="4"/>
  <c r="H359" i="4" s="1"/>
  <c r="F358" i="4"/>
  <c r="E358" i="4"/>
  <c r="D358" i="4"/>
  <c r="C358" i="4"/>
  <c r="B358" i="4"/>
  <c r="A358" i="4"/>
  <c r="H358" i="4" s="1"/>
  <c r="F357" i="4"/>
  <c r="E357" i="4"/>
  <c r="D357" i="4"/>
  <c r="C357" i="4"/>
  <c r="B357" i="4"/>
  <c r="A357" i="4"/>
  <c r="H357" i="4" s="1"/>
  <c r="F356" i="4"/>
  <c r="E356" i="4"/>
  <c r="D356" i="4"/>
  <c r="C356" i="4"/>
  <c r="B356" i="4"/>
  <c r="A356" i="4"/>
  <c r="H356" i="4" s="1"/>
  <c r="F355" i="4"/>
  <c r="E355" i="4"/>
  <c r="D355" i="4"/>
  <c r="C355" i="4"/>
  <c r="B355" i="4"/>
  <c r="A355" i="4"/>
  <c r="H355" i="4" s="1"/>
  <c r="F354" i="4"/>
  <c r="E354" i="4"/>
  <c r="D354" i="4"/>
  <c r="C354" i="4"/>
  <c r="B354" i="4"/>
  <c r="A354" i="4"/>
  <c r="H354" i="4" s="1"/>
  <c r="F353" i="4"/>
  <c r="E353" i="4"/>
  <c r="D353" i="4"/>
  <c r="C353" i="4"/>
  <c r="B353" i="4"/>
  <c r="A353" i="4"/>
  <c r="H353" i="4" s="1"/>
  <c r="F352" i="4"/>
  <c r="E352" i="4"/>
  <c r="D352" i="4"/>
  <c r="C352" i="4"/>
  <c r="B352" i="4"/>
  <c r="A352" i="4"/>
  <c r="H352" i="4" s="1"/>
  <c r="F351" i="4"/>
  <c r="E351" i="4"/>
  <c r="D351" i="4"/>
  <c r="C351" i="4"/>
  <c r="B351" i="4"/>
  <c r="A351" i="4"/>
  <c r="H351" i="4" s="1"/>
  <c r="F350" i="4"/>
  <c r="E350" i="4"/>
  <c r="D350" i="4"/>
  <c r="C350" i="4"/>
  <c r="B350" i="4"/>
  <c r="A350" i="4"/>
  <c r="H350" i="4" s="1"/>
  <c r="F349" i="4"/>
  <c r="E349" i="4"/>
  <c r="D349" i="4"/>
  <c r="C349" i="4"/>
  <c r="B349" i="4"/>
  <c r="A349" i="4"/>
  <c r="H349" i="4" s="1"/>
  <c r="F348" i="4"/>
  <c r="E348" i="4"/>
  <c r="D348" i="4"/>
  <c r="C348" i="4"/>
  <c r="B348" i="4"/>
  <c r="A348" i="4"/>
  <c r="H348" i="4" s="1"/>
  <c r="F347" i="4"/>
  <c r="E347" i="4"/>
  <c r="D347" i="4"/>
  <c r="C347" i="4"/>
  <c r="B347" i="4"/>
  <c r="A347" i="4"/>
  <c r="H347" i="4" s="1"/>
  <c r="F346" i="4"/>
  <c r="E346" i="4"/>
  <c r="D346" i="4"/>
  <c r="C346" i="4"/>
  <c r="B346" i="4"/>
  <c r="A346" i="4"/>
  <c r="H346" i="4" s="1"/>
  <c r="F345" i="4"/>
  <c r="E345" i="4"/>
  <c r="D345" i="4"/>
  <c r="C345" i="4"/>
  <c r="B345" i="4"/>
  <c r="A345" i="4"/>
  <c r="H345" i="4" s="1"/>
  <c r="F344" i="4"/>
  <c r="E344" i="4"/>
  <c r="D344" i="4"/>
  <c r="C344" i="4"/>
  <c r="B344" i="4"/>
  <c r="A344" i="4"/>
  <c r="H344" i="4" s="1"/>
  <c r="F343" i="4"/>
  <c r="E343" i="4"/>
  <c r="D343" i="4"/>
  <c r="C343" i="4"/>
  <c r="B343" i="4"/>
  <c r="A343" i="4"/>
  <c r="H343" i="4" s="1"/>
  <c r="F342" i="4"/>
  <c r="E342" i="4"/>
  <c r="D342" i="4"/>
  <c r="C342" i="4"/>
  <c r="B342" i="4"/>
  <c r="A342" i="4"/>
  <c r="H342" i="4" s="1"/>
  <c r="F341" i="4"/>
  <c r="E341" i="4"/>
  <c r="D341" i="4"/>
  <c r="C341" i="4"/>
  <c r="B341" i="4"/>
  <c r="A341" i="4"/>
  <c r="H341" i="4" s="1"/>
  <c r="F340" i="4"/>
  <c r="E340" i="4"/>
  <c r="D340" i="4"/>
  <c r="C340" i="4"/>
  <c r="B340" i="4"/>
  <c r="A340" i="4"/>
  <c r="H340" i="4" s="1"/>
  <c r="F339" i="4"/>
  <c r="E339" i="4"/>
  <c r="D339" i="4"/>
  <c r="C339" i="4"/>
  <c r="B339" i="4"/>
  <c r="A339" i="4"/>
  <c r="H339" i="4" s="1"/>
  <c r="F338" i="4"/>
  <c r="E338" i="4"/>
  <c r="D338" i="4"/>
  <c r="C338" i="4"/>
  <c r="B338" i="4"/>
  <c r="A338" i="4"/>
  <c r="H338" i="4" s="1"/>
  <c r="F337" i="4"/>
  <c r="E337" i="4"/>
  <c r="D337" i="4"/>
  <c r="C337" i="4"/>
  <c r="B337" i="4"/>
  <c r="A337" i="4"/>
  <c r="H337" i="4" s="1"/>
  <c r="F336" i="4"/>
  <c r="E336" i="4"/>
  <c r="D336" i="4"/>
  <c r="C336" i="4"/>
  <c r="B336" i="4"/>
  <c r="A336" i="4"/>
  <c r="H336" i="4" s="1"/>
  <c r="F335" i="4"/>
  <c r="E335" i="4"/>
  <c r="D335" i="4"/>
  <c r="C335" i="4"/>
  <c r="B335" i="4"/>
  <c r="A335" i="4"/>
  <c r="H335" i="4" s="1"/>
  <c r="F334" i="4"/>
  <c r="E334" i="4"/>
  <c r="D334" i="4"/>
  <c r="C334" i="4"/>
  <c r="B334" i="4"/>
  <c r="A334" i="4"/>
  <c r="G334" i="4" s="1"/>
  <c r="F333" i="4"/>
  <c r="E333" i="4"/>
  <c r="D333" i="4"/>
  <c r="C333" i="4"/>
  <c r="B333" i="4"/>
  <c r="A333" i="4"/>
  <c r="H333" i="4" s="1"/>
  <c r="F332" i="4"/>
  <c r="E332" i="4"/>
  <c r="D332" i="4"/>
  <c r="C332" i="4"/>
  <c r="B332" i="4"/>
  <c r="A332" i="4"/>
  <c r="H332" i="4" s="1"/>
  <c r="F331" i="4"/>
  <c r="E331" i="4"/>
  <c r="D331" i="4"/>
  <c r="C331" i="4"/>
  <c r="B331" i="4"/>
  <c r="A331" i="4"/>
  <c r="H331" i="4" s="1"/>
  <c r="F330" i="4"/>
  <c r="E330" i="4"/>
  <c r="D330" i="4"/>
  <c r="C330" i="4"/>
  <c r="B330" i="4"/>
  <c r="A330" i="4"/>
  <c r="H330" i="4" s="1"/>
  <c r="F329" i="4"/>
  <c r="E329" i="4"/>
  <c r="D329" i="4"/>
  <c r="C329" i="4"/>
  <c r="B329" i="4"/>
  <c r="A329" i="4"/>
  <c r="H329" i="4" s="1"/>
  <c r="F328" i="4"/>
  <c r="E328" i="4"/>
  <c r="D328" i="4"/>
  <c r="C328" i="4"/>
  <c r="B328" i="4"/>
  <c r="A328" i="4"/>
  <c r="H328" i="4" s="1"/>
  <c r="F327" i="4"/>
  <c r="E327" i="4"/>
  <c r="D327" i="4"/>
  <c r="C327" i="4"/>
  <c r="B327" i="4"/>
  <c r="A327" i="4"/>
  <c r="H327" i="4" s="1"/>
  <c r="F326" i="4"/>
  <c r="E326" i="4"/>
  <c r="D326" i="4"/>
  <c r="C326" i="4"/>
  <c r="B326" i="4"/>
  <c r="A326" i="4"/>
  <c r="H326" i="4" s="1"/>
  <c r="F325" i="4"/>
  <c r="E325" i="4"/>
  <c r="D325" i="4"/>
  <c r="C325" i="4"/>
  <c r="B325" i="4"/>
  <c r="A325" i="4"/>
  <c r="H325" i="4" s="1"/>
  <c r="F324" i="4"/>
  <c r="E324" i="4"/>
  <c r="D324" i="4"/>
  <c r="C324" i="4"/>
  <c r="B324" i="4"/>
  <c r="A324" i="4"/>
  <c r="H324" i="4" s="1"/>
  <c r="F323" i="4"/>
  <c r="E323" i="4"/>
  <c r="D323" i="4"/>
  <c r="C323" i="4"/>
  <c r="B323" i="4"/>
  <c r="A323" i="4"/>
  <c r="H323" i="4" s="1"/>
  <c r="F322" i="4"/>
  <c r="E322" i="4"/>
  <c r="D322" i="4"/>
  <c r="C322" i="4"/>
  <c r="B322" i="4"/>
  <c r="A322" i="4"/>
  <c r="H322" i="4" s="1"/>
  <c r="F321" i="4"/>
  <c r="E321" i="4"/>
  <c r="D321" i="4"/>
  <c r="C321" i="4"/>
  <c r="B321" i="4"/>
  <c r="A321" i="4"/>
  <c r="H321" i="4" s="1"/>
  <c r="F320" i="4"/>
  <c r="E320" i="4"/>
  <c r="D320" i="4"/>
  <c r="C320" i="4"/>
  <c r="B320" i="4"/>
  <c r="A320" i="4"/>
  <c r="H320" i="4" s="1"/>
  <c r="F319" i="4"/>
  <c r="E319" i="4"/>
  <c r="D319" i="4"/>
  <c r="C319" i="4"/>
  <c r="B319" i="4"/>
  <c r="A319" i="4"/>
  <c r="H319" i="4" s="1"/>
  <c r="F318" i="4"/>
  <c r="E318" i="4"/>
  <c r="D318" i="4"/>
  <c r="C318" i="4"/>
  <c r="B318" i="4"/>
  <c r="A318" i="4"/>
  <c r="H318" i="4" s="1"/>
  <c r="F317" i="4"/>
  <c r="E317" i="4"/>
  <c r="D317" i="4"/>
  <c r="C317" i="4"/>
  <c r="B317" i="4"/>
  <c r="A317" i="4"/>
  <c r="H317" i="4" s="1"/>
  <c r="F316" i="4"/>
  <c r="E316" i="4"/>
  <c r="D316" i="4"/>
  <c r="C316" i="4"/>
  <c r="B316" i="4"/>
  <c r="A316" i="4"/>
  <c r="H316" i="4" s="1"/>
  <c r="F315" i="4"/>
  <c r="E315" i="4"/>
  <c r="D315" i="4"/>
  <c r="C315" i="4"/>
  <c r="B315" i="4"/>
  <c r="A315" i="4"/>
  <c r="H315" i="4" s="1"/>
  <c r="F314" i="4"/>
  <c r="E314" i="4"/>
  <c r="D314" i="4"/>
  <c r="C314" i="4"/>
  <c r="B314" i="4"/>
  <c r="A314" i="4"/>
  <c r="H314" i="4" s="1"/>
  <c r="F313" i="4"/>
  <c r="E313" i="4"/>
  <c r="D313" i="4"/>
  <c r="C313" i="4"/>
  <c r="B313" i="4"/>
  <c r="A313" i="4"/>
  <c r="H313" i="4" s="1"/>
  <c r="F312" i="4"/>
  <c r="E312" i="4"/>
  <c r="D312" i="4"/>
  <c r="C312" i="4"/>
  <c r="B312" i="4"/>
  <c r="A312" i="4"/>
  <c r="H312" i="4" s="1"/>
  <c r="F311" i="4"/>
  <c r="E311" i="4"/>
  <c r="D311" i="4"/>
  <c r="C311" i="4"/>
  <c r="B311" i="4"/>
  <c r="A311" i="4"/>
  <c r="H311" i="4" s="1"/>
  <c r="F310" i="4"/>
  <c r="E310" i="4"/>
  <c r="D310" i="4"/>
  <c r="C310" i="4"/>
  <c r="B310" i="4"/>
  <c r="A310" i="4"/>
  <c r="F309" i="4"/>
  <c r="E309" i="4"/>
  <c r="D309" i="4"/>
  <c r="C309" i="4"/>
  <c r="B309" i="4"/>
  <c r="A309" i="4"/>
  <c r="H309" i="4" s="1"/>
  <c r="F308" i="4"/>
  <c r="E308" i="4"/>
  <c r="D308" i="4"/>
  <c r="C308" i="4"/>
  <c r="B308" i="4"/>
  <c r="A308" i="4"/>
  <c r="H308" i="4" s="1"/>
  <c r="F307" i="4"/>
  <c r="E307" i="4"/>
  <c r="D307" i="4"/>
  <c r="C307" i="4"/>
  <c r="B307" i="4"/>
  <c r="A307" i="4"/>
  <c r="F306" i="4"/>
  <c r="E306" i="4"/>
  <c r="D306" i="4"/>
  <c r="C306" i="4"/>
  <c r="B306" i="4"/>
  <c r="A306" i="4"/>
  <c r="H306" i="4" s="1"/>
  <c r="F305" i="4"/>
  <c r="E305" i="4"/>
  <c r="D305" i="4"/>
  <c r="C305" i="4"/>
  <c r="B305" i="4"/>
  <c r="A305" i="4"/>
  <c r="H305" i="4" s="1"/>
  <c r="F304" i="4"/>
  <c r="E304" i="4"/>
  <c r="D304" i="4"/>
  <c r="C304" i="4"/>
  <c r="B304" i="4"/>
  <c r="A304" i="4"/>
  <c r="F303" i="4"/>
  <c r="E303" i="4"/>
  <c r="D303" i="4"/>
  <c r="C303" i="4"/>
  <c r="B303" i="4"/>
  <c r="A303" i="4"/>
  <c r="H303" i="4" s="1"/>
  <c r="F302" i="4"/>
  <c r="E302" i="4"/>
  <c r="D302" i="4"/>
  <c r="C302" i="4"/>
  <c r="B302" i="4"/>
  <c r="A302" i="4"/>
  <c r="H302" i="4" s="1"/>
  <c r="F301" i="4"/>
  <c r="E301" i="4"/>
  <c r="D301" i="4"/>
  <c r="C301" i="4"/>
  <c r="B301" i="4"/>
  <c r="A301" i="4"/>
  <c r="F300" i="4"/>
  <c r="E300" i="4"/>
  <c r="D300" i="4"/>
  <c r="C300" i="4"/>
  <c r="B300" i="4"/>
  <c r="A300" i="4"/>
  <c r="H300" i="4" s="1"/>
  <c r="F299" i="4"/>
  <c r="E299" i="4"/>
  <c r="D299" i="4"/>
  <c r="C299" i="4"/>
  <c r="B299" i="4"/>
  <c r="A299" i="4"/>
  <c r="H299" i="4" s="1"/>
  <c r="F298" i="4"/>
  <c r="E298" i="4"/>
  <c r="D298" i="4"/>
  <c r="C298" i="4"/>
  <c r="B298" i="4"/>
  <c r="A298" i="4"/>
  <c r="F297" i="4"/>
  <c r="E297" i="4"/>
  <c r="D297" i="4"/>
  <c r="C297" i="4"/>
  <c r="B297" i="4"/>
  <c r="A297" i="4"/>
  <c r="H297" i="4" s="1"/>
  <c r="F296" i="4"/>
  <c r="E296" i="4"/>
  <c r="D296" i="4"/>
  <c r="C296" i="4"/>
  <c r="B296" i="4"/>
  <c r="A296" i="4"/>
  <c r="H296" i="4" s="1"/>
  <c r="F295" i="4"/>
  <c r="E295" i="4"/>
  <c r="D295" i="4"/>
  <c r="C295" i="4"/>
  <c r="B295" i="4"/>
  <c r="A295" i="4"/>
  <c r="F294" i="4"/>
  <c r="E294" i="4"/>
  <c r="D294" i="4"/>
  <c r="C294" i="4"/>
  <c r="B294" i="4"/>
  <c r="A294" i="4"/>
  <c r="H294" i="4" s="1"/>
  <c r="F293" i="4"/>
  <c r="E293" i="4"/>
  <c r="D293" i="4"/>
  <c r="C293" i="4"/>
  <c r="B293" i="4"/>
  <c r="A293" i="4"/>
  <c r="H293" i="4" s="1"/>
  <c r="F292" i="4"/>
  <c r="E292" i="4"/>
  <c r="D292" i="4"/>
  <c r="C292" i="4"/>
  <c r="B292" i="4"/>
  <c r="A292" i="4"/>
  <c r="F291" i="4"/>
  <c r="E291" i="4"/>
  <c r="D291" i="4"/>
  <c r="C291" i="4"/>
  <c r="B291" i="4"/>
  <c r="A291" i="4"/>
  <c r="H291" i="4" s="1"/>
  <c r="F290" i="4"/>
  <c r="E290" i="4"/>
  <c r="D290" i="4"/>
  <c r="C290" i="4"/>
  <c r="B290" i="4"/>
  <c r="A290" i="4"/>
  <c r="H290" i="4" s="1"/>
  <c r="F289" i="4"/>
  <c r="E289" i="4"/>
  <c r="D289" i="4"/>
  <c r="C289" i="4"/>
  <c r="B289" i="4"/>
  <c r="A289" i="4"/>
  <c r="F288" i="4"/>
  <c r="E288" i="4"/>
  <c r="D288" i="4"/>
  <c r="C288" i="4"/>
  <c r="B288" i="4"/>
  <c r="A288" i="4"/>
  <c r="H288" i="4" s="1"/>
  <c r="F287" i="4"/>
  <c r="E287" i="4"/>
  <c r="D287" i="4"/>
  <c r="C287" i="4"/>
  <c r="B287" i="4"/>
  <c r="A287" i="4"/>
  <c r="H287" i="4" s="1"/>
  <c r="F286" i="4"/>
  <c r="E286" i="4"/>
  <c r="D286" i="4"/>
  <c r="C286" i="4"/>
  <c r="B286" i="4"/>
  <c r="A286" i="4"/>
  <c r="F285" i="4"/>
  <c r="E285" i="4"/>
  <c r="D285" i="4"/>
  <c r="C285" i="4"/>
  <c r="B285" i="4"/>
  <c r="A285" i="4"/>
  <c r="H285" i="4" s="1"/>
  <c r="F284" i="4"/>
  <c r="E284" i="4"/>
  <c r="D284" i="4"/>
  <c r="C284" i="4"/>
  <c r="B284" i="4"/>
  <c r="A284" i="4"/>
  <c r="G284" i="4" s="1"/>
  <c r="F283" i="4"/>
  <c r="E283" i="4"/>
  <c r="D283" i="4"/>
  <c r="C283" i="4"/>
  <c r="B283" i="4"/>
  <c r="A283" i="4"/>
  <c r="F282" i="4"/>
  <c r="E282" i="4"/>
  <c r="D282" i="4"/>
  <c r="C282" i="4"/>
  <c r="B282" i="4"/>
  <c r="A282" i="4"/>
  <c r="H282" i="4" s="1"/>
  <c r="F281" i="4"/>
  <c r="E281" i="4"/>
  <c r="D281" i="4"/>
  <c r="C281" i="4"/>
  <c r="B281" i="4"/>
  <c r="A281" i="4"/>
  <c r="H281" i="4" s="1"/>
  <c r="F280" i="4"/>
  <c r="E280" i="4"/>
  <c r="D280" i="4"/>
  <c r="C280" i="4"/>
  <c r="B280" i="4"/>
  <c r="A280" i="4"/>
  <c r="F279" i="4"/>
  <c r="E279" i="4"/>
  <c r="D279" i="4"/>
  <c r="C279" i="4"/>
  <c r="B279" i="4"/>
  <c r="A279" i="4"/>
  <c r="G279" i="4" s="1"/>
  <c r="F278" i="4"/>
  <c r="E278" i="4"/>
  <c r="D278" i="4"/>
  <c r="C278" i="4"/>
  <c r="B278" i="4"/>
  <c r="A278" i="4"/>
  <c r="H278" i="4" s="1"/>
  <c r="F277" i="4"/>
  <c r="E277" i="4"/>
  <c r="D277" i="4"/>
  <c r="C277" i="4"/>
  <c r="B277" i="4"/>
  <c r="A277" i="4"/>
  <c r="F276" i="4"/>
  <c r="E276" i="4"/>
  <c r="D276" i="4"/>
  <c r="C276" i="4"/>
  <c r="B276" i="4"/>
  <c r="A276" i="4"/>
  <c r="H276" i="4" s="1"/>
  <c r="F275" i="4"/>
  <c r="E275" i="4"/>
  <c r="D275" i="4"/>
  <c r="C275" i="4"/>
  <c r="B275" i="4"/>
  <c r="A275" i="4"/>
  <c r="H275" i="4" s="1"/>
  <c r="F274" i="4"/>
  <c r="E274" i="4"/>
  <c r="D274" i="4"/>
  <c r="C274" i="4"/>
  <c r="B274" i="4"/>
  <c r="A274" i="4"/>
  <c r="F273" i="4"/>
  <c r="E273" i="4"/>
  <c r="D273" i="4"/>
  <c r="C273" i="4"/>
  <c r="B273" i="4"/>
  <c r="A273" i="4"/>
  <c r="H273" i="4" s="1"/>
  <c r="F272" i="4"/>
  <c r="E272" i="4"/>
  <c r="D272" i="4"/>
  <c r="C272" i="4"/>
  <c r="B272" i="4"/>
  <c r="A272" i="4"/>
  <c r="H272" i="4" s="1"/>
  <c r="F271" i="4"/>
  <c r="E271" i="4"/>
  <c r="D271" i="4"/>
  <c r="C271" i="4"/>
  <c r="B271" i="4"/>
  <c r="A271" i="4"/>
  <c r="F270" i="4"/>
  <c r="E270" i="4"/>
  <c r="D270" i="4"/>
  <c r="C270" i="4"/>
  <c r="B270" i="4"/>
  <c r="A270" i="4"/>
  <c r="H270" i="4" s="1"/>
  <c r="F269" i="4"/>
  <c r="E269" i="4"/>
  <c r="D269" i="4"/>
  <c r="C269" i="4"/>
  <c r="B269" i="4"/>
  <c r="A269" i="4"/>
  <c r="G269" i="4" s="1"/>
  <c r="F268" i="4"/>
  <c r="E268" i="4"/>
  <c r="D268" i="4"/>
  <c r="C268" i="4"/>
  <c r="B268" i="4"/>
  <c r="A268" i="4"/>
  <c r="F267" i="4"/>
  <c r="E267" i="4"/>
  <c r="D267" i="4"/>
  <c r="C267" i="4"/>
  <c r="B267" i="4"/>
  <c r="A267" i="4"/>
  <c r="H267" i="4" s="1"/>
  <c r="F266" i="4"/>
  <c r="E266" i="4"/>
  <c r="D266" i="4"/>
  <c r="C266" i="4"/>
  <c r="B266" i="4"/>
  <c r="A266" i="4"/>
  <c r="H266" i="4" s="1"/>
  <c r="F265" i="4"/>
  <c r="E265" i="4"/>
  <c r="D265" i="4"/>
  <c r="C265" i="4"/>
  <c r="B265" i="4"/>
  <c r="A265" i="4"/>
  <c r="F264" i="4"/>
  <c r="E264" i="4"/>
  <c r="D264" i="4"/>
  <c r="C264" i="4"/>
  <c r="B264" i="4"/>
  <c r="A264" i="4"/>
  <c r="G264" i="4" s="1"/>
  <c r="F263" i="4"/>
  <c r="E263" i="4"/>
  <c r="D263" i="4"/>
  <c r="C263" i="4"/>
  <c r="B263" i="4"/>
  <c r="A263" i="4"/>
  <c r="H263" i="4" s="1"/>
  <c r="F262" i="4"/>
  <c r="E262" i="4"/>
  <c r="D262" i="4"/>
  <c r="C262" i="4"/>
  <c r="B262" i="4"/>
  <c r="A262" i="4"/>
  <c r="F261" i="4"/>
  <c r="E261" i="4"/>
  <c r="D261" i="4"/>
  <c r="C261" i="4"/>
  <c r="B261" i="4"/>
  <c r="A261" i="4"/>
  <c r="H261" i="4" s="1"/>
  <c r="F260" i="4"/>
  <c r="E260" i="4"/>
  <c r="D260" i="4"/>
  <c r="C260" i="4"/>
  <c r="B260" i="4"/>
  <c r="A260" i="4"/>
  <c r="H260" i="4" s="1"/>
  <c r="F259" i="4"/>
  <c r="E259" i="4"/>
  <c r="D259" i="4"/>
  <c r="C259" i="4"/>
  <c r="B259" i="4"/>
  <c r="A259" i="4"/>
  <c r="F258" i="4"/>
  <c r="E258" i="4"/>
  <c r="D258" i="4"/>
  <c r="C258" i="4"/>
  <c r="B258" i="4"/>
  <c r="A258" i="4"/>
  <c r="H258" i="4" s="1"/>
  <c r="F257" i="4"/>
  <c r="E257" i="4"/>
  <c r="D257" i="4"/>
  <c r="C257" i="4"/>
  <c r="B257" i="4"/>
  <c r="A257" i="4"/>
  <c r="H257" i="4" s="1"/>
  <c r="F256" i="4"/>
  <c r="E256" i="4"/>
  <c r="D256" i="4"/>
  <c r="C256" i="4"/>
  <c r="B256" i="4"/>
  <c r="A256" i="4"/>
  <c r="F255" i="4"/>
  <c r="E255" i="4"/>
  <c r="D255" i="4"/>
  <c r="C255" i="4"/>
  <c r="B255" i="4"/>
  <c r="A255" i="4"/>
  <c r="H255" i="4" s="1"/>
  <c r="F254" i="4"/>
  <c r="E254" i="4"/>
  <c r="D254" i="4"/>
  <c r="C254" i="4"/>
  <c r="B254" i="4"/>
  <c r="A254" i="4"/>
  <c r="G254" i="4" s="1"/>
  <c r="F253" i="4"/>
  <c r="E253" i="4"/>
  <c r="D253" i="4"/>
  <c r="C253" i="4"/>
  <c r="B253" i="4"/>
  <c r="A253" i="4"/>
  <c r="F252" i="4"/>
  <c r="E252" i="4"/>
  <c r="D252" i="4"/>
  <c r="C252" i="4"/>
  <c r="B252" i="4"/>
  <c r="A252" i="4"/>
  <c r="H252" i="4" s="1"/>
  <c r="F251" i="4"/>
  <c r="E251" i="4"/>
  <c r="D251" i="4"/>
  <c r="C251" i="4"/>
  <c r="B251" i="4"/>
  <c r="A251" i="4"/>
  <c r="H251" i="4" s="1"/>
  <c r="F250" i="4"/>
  <c r="E250" i="4"/>
  <c r="D250" i="4"/>
  <c r="C250" i="4"/>
  <c r="B250" i="4"/>
  <c r="A250" i="4"/>
  <c r="F249" i="4"/>
  <c r="E249" i="4"/>
  <c r="D249" i="4"/>
  <c r="C249" i="4"/>
  <c r="B249" i="4"/>
  <c r="A249" i="4"/>
  <c r="H249" i="4" s="1"/>
  <c r="F248" i="4"/>
  <c r="E248" i="4"/>
  <c r="D248" i="4"/>
  <c r="C248" i="4"/>
  <c r="B248" i="4"/>
  <c r="A248" i="4"/>
  <c r="H248" i="4" s="1"/>
  <c r="F247" i="4"/>
  <c r="E247" i="4"/>
  <c r="D247" i="4"/>
  <c r="C247" i="4"/>
  <c r="B247" i="4"/>
  <c r="A247" i="4"/>
  <c r="F246" i="4"/>
  <c r="E246" i="4"/>
  <c r="D246" i="4"/>
  <c r="C246" i="4"/>
  <c r="B246" i="4"/>
  <c r="A246" i="4"/>
  <c r="G246" i="4" s="1"/>
  <c r="F245" i="4"/>
  <c r="E245" i="4"/>
  <c r="D245" i="4"/>
  <c r="C245" i="4"/>
  <c r="B245" i="4"/>
  <c r="A245" i="4"/>
  <c r="H245" i="4" s="1"/>
  <c r="F244" i="4"/>
  <c r="E244" i="4"/>
  <c r="D244" i="4"/>
  <c r="C244" i="4"/>
  <c r="B244" i="4"/>
  <c r="A244" i="4"/>
  <c r="F243" i="4"/>
  <c r="E243" i="4"/>
  <c r="D243" i="4"/>
  <c r="C243" i="4"/>
  <c r="B243" i="4"/>
  <c r="A243" i="4"/>
  <c r="H243" i="4" s="1"/>
  <c r="F242" i="4"/>
  <c r="E242" i="4"/>
  <c r="D242" i="4"/>
  <c r="C242" i="4"/>
  <c r="B242" i="4"/>
  <c r="A242" i="4"/>
  <c r="H242" i="4" s="1"/>
  <c r="F241" i="4"/>
  <c r="E241" i="4"/>
  <c r="D241" i="4"/>
  <c r="C241" i="4"/>
  <c r="B241" i="4"/>
  <c r="A241" i="4"/>
  <c r="F240" i="4"/>
  <c r="E240" i="4"/>
  <c r="D240" i="4"/>
  <c r="C240" i="4"/>
  <c r="B240" i="4"/>
  <c r="A240" i="4"/>
  <c r="H240" i="4" s="1"/>
  <c r="F239" i="4"/>
  <c r="E239" i="4"/>
  <c r="D239" i="4"/>
  <c r="C239" i="4"/>
  <c r="B239" i="4"/>
  <c r="A239" i="4"/>
  <c r="G239" i="4" s="1"/>
  <c r="F238" i="4"/>
  <c r="E238" i="4"/>
  <c r="D238" i="4"/>
  <c r="C238" i="4"/>
  <c r="B238" i="4"/>
  <c r="A238" i="4"/>
  <c r="F237" i="4"/>
  <c r="E237" i="4"/>
  <c r="D237" i="4"/>
  <c r="C237" i="4"/>
  <c r="B237" i="4"/>
  <c r="A237" i="4"/>
  <c r="H237" i="4" s="1"/>
  <c r="F236" i="4"/>
  <c r="E236" i="4"/>
  <c r="D236" i="4"/>
  <c r="C236" i="4"/>
  <c r="B236" i="4"/>
  <c r="A236" i="4"/>
  <c r="G236" i="4" s="1"/>
  <c r="F235" i="4"/>
  <c r="E235" i="4"/>
  <c r="D235" i="4"/>
  <c r="C235" i="4"/>
  <c r="B235" i="4"/>
  <c r="A235" i="4"/>
  <c r="F234" i="4"/>
  <c r="E234" i="4"/>
  <c r="D234" i="4"/>
  <c r="C234" i="4"/>
  <c r="B234" i="4"/>
  <c r="A234" i="4"/>
  <c r="H234" i="4" s="1"/>
  <c r="F233" i="4"/>
  <c r="E233" i="4"/>
  <c r="D233" i="4"/>
  <c r="C233" i="4"/>
  <c r="B233" i="4"/>
  <c r="A233" i="4"/>
  <c r="H233" i="4" s="1"/>
  <c r="F232" i="4"/>
  <c r="E232" i="4"/>
  <c r="D232" i="4"/>
  <c r="C232" i="4"/>
  <c r="B232" i="4"/>
  <c r="A232" i="4"/>
  <c r="F231" i="4"/>
  <c r="E231" i="4"/>
  <c r="D231" i="4"/>
  <c r="C231" i="4"/>
  <c r="B231" i="4"/>
  <c r="A231" i="4"/>
  <c r="H231" i="4" s="1"/>
  <c r="F230" i="4"/>
  <c r="E230" i="4"/>
  <c r="D230" i="4"/>
  <c r="C230" i="4"/>
  <c r="B230" i="4"/>
  <c r="A230" i="4"/>
  <c r="G230" i="4" s="1"/>
  <c r="F229" i="4"/>
  <c r="E229" i="4"/>
  <c r="D229" i="4"/>
  <c r="C229" i="4"/>
  <c r="B229" i="4"/>
  <c r="A229" i="4"/>
  <c r="F228" i="4"/>
  <c r="E228" i="4"/>
  <c r="D228" i="4"/>
  <c r="C228" i="4"/>
  <c r="B228" i="4"/>
  <c r="A228" i="4"/>
  <c r="G228" i="4" s="1"/>
  <c r="F227" i="4"/>
  <c r="E227" i="4"/>
  <c r="D227" i="4"/>
  <c r="C227" i="4"/>
  <c r="B227" i="4"/>
  <c r="A227" i="4"/>
  <c r="H227" i="4" s="1"/>
  <c r="F226" i="4"/>
  <c r="E226" i="4"/>
  <c r="D226" i="4"/>
  <c r="C226" i="4"/>
  <c r="B226" i="4"/>
  <c r="A226" i="4"/>
  <c r="F225" i="4"/>
  <c r="E225" i="4"/>
  <c r="D225" i="4"/>
  <c r="C225" i="4"/>
  <c r="B225" i="4"/>
  <c r="A225" i="4"/>
  <c r="G225" i="4" s="1"/>
  <c r="F224" i="4"/>
  <c r="E224" i="4"/>
  <c r="D224" i="4"/>
  <c r="C224" i="4"/>
  <c r="B224" i="4"/>
  <c r="A224" i="4"/>
  <c r="H224" i="4" s="1"/>
  <c r="F223" i="4"/>
  <c r="E223" i="4"/>
  <c r="D223" i="4"/>
  <c r="C223" i="4"/>
  <c r="B223" i="4"/>
  <c r="A223" i="4"/>
  <c r="H223" i="4" s="1"/>
  <c r="F222" i="4"/>
  <c r="E222" i="4"/>
  <c r="D222" i="4"/>
  <c r="C222" i="4"/>
  <c r="B222" i="4"/>
  <c r="A222" i="4"/>
  <c r="H222" i="4" s="1"/>
  <c r="F221" i="4"/>
  <c r="E221" i="4"/>
  <c r="D221" i="4"/>
  <c r="C221" i="4"/>
  <c r="B221" i="4"/>
  <c r="A221" i="4"/>
  <c r="H221" i="4" s="1"/>
  <c r="F220" i="4"/>
  <c r="E220" i="4"/>
  <c r="D220" i="4"/>
  <c r="C220" i="4"/>
  <c r="B220" i="4"/>
  <c r="A220" i="4"/>
  <c r="H220" i="4" s="1"/>
  <c r="F219" i="4"/>
  <c r="E219" i="4"/>
  <c r="D219" i="4"/>
  <c r="C219" i="4"/>
  <c r="B219" i="4"/>
  <c r="A219" i="4"/>
  <c r="H219" i="4" s="1"/>
  <c r="F218" i="4"/>
  <c r="E218" i="4"/>
  <c r="D218" i="4"/>
  <c r="C218" i="4"/>
  <c r="B218" i="4"/>
  <c r="A218" i="4"/>
  <c r="H218" i="4" s="1"/>
  <c r="F217" i="4"/>
  <c r="E217" i="4"/>
  <c r="D217" i="4"/>
  <c r="C217" i="4"/>
  <c r="B217" i="4"/>
  <c r="A217" i="4"/>
  <c r="H217" i="4" s="1"/>
  <c r="F216" i="4"/>
  <c r="E216" i="4"/>
  <c r="D216" i="4"/>
  <c r="C216" i="4"/>
  <c r="B216" i="4"/>
  <c r="A216" i="4"/>
  <c r="H216" i="4" s="1"/>
  <c r="F215" i="4"/>
  <c r="E215" i="4"/>
  <c r="D215" i="4"/>
  <c r="C215" i="4"/>
  <c r="B215" i="4"/>
  <c r="A215" i="4"/>
  <c r="H215" i="4" s="1"/>
  <c r="F214" i="4"/>
  <c r="E214" i="4"/>
  <c r="D214" i="4"/>
  <c r="C214" i="4"/>
  <c r="B214" i="4"/>
  <c r="A214" i="4"/>
  <c r="H214" i="4" s="1"/>
  <c r="F213" i="4"/>
  <c r="E213" i="4"/>
  <c r="D213" i="4"/>
  <c r="C213" i="4"/>
  <c r="B213" i="4"/>
  <c r="A213" i="4"/>
  <c r="H213" i="4" s="1"/>
  <c r="F212" i="4"/>
  <c r="E212" i="4"/>
  <c r="D212" i="4"/>
  <c r="C212" i="4"/>
  <c r="B212" i="4"/>
  <c r="A212" i="4"/>
  <c r="H212" i="4" s="1"/>
  <c r="F211" i="4"/>
  <c r="E211" i="4"/>
  <c r="D211" i="4"/>
  <c r="C211" i="4"/>
  <c r="B211" i="4"/>
  <c r="A211" i="4"/>
  <c r="H211" i="4" s="1"/>
  <c r="F210" i="4"/>
  <c r="E210" i="4"/>
  <c r="D210" i="4"/>
  <c r="C210" i="4"/>
  <c r="B210" i="4"/>
  <c r="A210" i="4"/>
  <c r="H210" i="4" s="1"/>
  <c r="F209" i="4"/>
  <c r="E209" i="4"/>
  <c r="D209" i="4"/>
  <c r="C209" i="4"/>
  <c r="B209" i="4"/>
  <c r="A209" i="4"/>
  <c r="G209" i="4" s="1"/>
  <c r="F208" i="4"/>
  <c r="E208" i="4"/>
  <c r="D208" i="4"/>
  <c r="C208" i="4"/>
  <c r="B208" i="4"/>
  <c r="A208" i="4"/>
  <c r="H208" i="4" s="1"/>
  <c r="F207" i="4"/>
  <c r="E207" i="4"/>
  <c r="D207" i="4"/>
  <c r="C207" i="4"/>
  <c r="B207" i="4"/>
  <c r="A207" i="4"/>
  <c r="H207" i="4" s="1"/>
  <c r="F206" i="4"/>
  <c r="E206" i="4"/>
  <c r="D206" i="4"/>
  <c r="C206" i="4"/>
  <c r="B206" i="4"/>
  <c r="A206" i="4"/>
  <c r="G206" i="4" s="1"/>
  <c r="F205" i="4"/>
  <c r="E205" i="4"/>
  <c r="D205" i="4"/>
  <c r="C205" i="4"/>
  <c r="B205" i="4"/>
  <c r="A205" i="4"/>
  <c r="H205" i="4" s="1"/>
  <c r="F204" i="4"/>
  <c r="E204" i="4"/>
  <c r="D204" i="4"/>
  <c r="C204" i="4"/>
  <c r="B204" i="4"/>
  <c r="A204" i="4"/>
  <c r="H204" i="4" s="1"/>
  <c r="F203" i="4"/>
  <c r="E203" i="4"/>
  <c r="D203" i="4"/>
  <c r="C203" i="4"/>
  <c r="B203" i="4"/>
  <c r="A203" i="4"/>
  <c r="G203" i="4" s="1"/>
  <c r="F202" i="4"/>
  <c r="E202" i="4"/>
  <c r="D202" i="4"/>
  <c r="C202" i="4"/>
  <c r="B202" i="4"/>
  <c r="A202" i="4"/>
  <c r="H202" i="4" s="1"/>
  <c r="F201" i="4"/>
  <c r="E201" i="4"/>
  <c r="D201" i="4"/>
  <c r="C201" i="4"/>
  <c r="B201" i="4"/>
  <c r="A201" i="4"/>
  <c r="H201" i="4" s="1"/>
  <c r="F200" i="4"/>
  <c r="E200" i="4"/>
  <c r="D200" i="4"/>
  <c r="C200" i="4"/>
  <c r="B200" i="4"/>
  <c r="A200" i="4"/>
  <c r="H200" i="4" s="1"/>
  <c r="F199" i="4"/>
  <c r="E199" i="4"/>
  <c r="D199" i="4"/>
  <c r="C199" i="4"/>
  <c r="B199" i="4"/>
  <c r="A199" i="4"/>
  <c r="H199" i="4" s="1"/>
  <c r="F198" i="4"/>
  <c r="E198" i="4"/>
  <c r="D198" i="4"/>
  <c r="C198" i="4"/>
  <c r="B198" i="4"/>
  <c r="A198" i="4"/>
  <c r="G198" i="4" s="1"/>
  <c r="F197" i="4"/>
  <c r="E197" i="4"/>
  <c r="D197" i="4"/>
  <c r="C197" i="4"/>
  <c r="B197" i="4"/>
  <c r="A197" i="4"/>
  <c r="H197" i="4" s="1"/>
  <c r="F196" i="4"/>
  <c r="E196" i="4"/>
  <c r="D196" i="4"/>
  <c r="C196" i="4"/>
  <c r="B196" i="4"/>
  <c r="A196" i="4"/>
  <c r="H196" i="4" s="1"/>
  <c r="F195" i="4"/>
  <c r="E195" i="4"/>
  <c r="D195" i="4"/>
  <c r="C195" i="4"/>
  <c r="B195" i="4"/>
  <c r="A195" i="4"/>
  <c r="G195" i="4" s="1"/>
  <c r="F194" i="4"/>
  <c r="E194" i="4"/>
  <c r="D194" i="4"/>
  <c r="C194" i="4"/>
  <c r="B194" i="4"/>
  <c r="A194" i="4"/>
  <c r="H194" i="4" s="1"/>
  <c r="F193" i="4"/>
  <c r="E193" i="4"/>
  <c r="D193" i="4"/>
  <c r="C193" i="4"/>
  <c r="B193" i="4"/>
  <c r="A193" i="4"/>
  <c r="H193" i="4" s="1"/>
  <c r="F192" i="4"/>
  <c r="E192" i="4"/>
  <c r="D192" i="4"/>
  <c r="C192" i="4"/>
  <c r="B192" i="4"/>
  <c r="A192" i="4"/>
  <c r="H192" i="4" s="1"/>
  <c r="F191" i="4"/>
  <c r="E191" i="4"/>
  <c r="D191" i="4"/>
  <c r="C191" i="4"/>
  <c r="B191" i="4"/>
  <c r="A191" i="4"/>
  <c r="G191" i="4" s="1"/>
  <c r="F190" i="4"/>
  <c r="E190" i="4"/>
  <c r="D190" i="4"/>
  <c r="C190" i="4"/>
  <c r="B190" i="4"/>
  <c r="A190" i="4"/>
  <c r="H190" i="4" s="1"/>
  <c r="F189" i="4"/>
  <c r="E189" i="4"/>
  <c r="D189" i="4"/>
  <c r="C189" i="4"/>
  <c r="B189" i="4"/>
  <c r="A189" i="4"/>
  <c r="H189" i="4" s="1"/>
  <c r="F188" i="4"/>
  <c r="E188" i="4"/>
  <c r="D188" i="4"/>
  <c r="C188" i="4"/>
  <c r="B188" i="4"/>
  <c r="A188" i="4"/>
  <c r="H188" i="4" s="1"/>
  <c r="F187" i="4"/>
  <c r="E187" i="4"/>
  <c r="D187" i="4"/>
  <c r="C187" i="4"/>
  <c r="B187" i="4"/>
  <c r="A187" i="4"/>
  <c r="H187" i="4" s="1"/>
  <c r="F186" i="4"/>
  <c r="E186" i="4"/>
  <c r="D186" i="4"/>
  <c r="C186" i="4"/>
  <c r="B186" i="4"/>
  <c r="A186" i="4"/>
  <c r="H186" i="4" s="1"/>
  <c r="F185" i="4"/>
  <c r="E185" i="4"/>
  <c r="D185" i="4"/>
  <c r="C185" i="4"/>
  <c r="B185" i="4"/>
  <c r="A185" i="4"/>
  <c r="H185" i="4" s="1"/>
  <c r="F184" i="4"/>
  <c r="E184" i="4"/>
  <c r="D184" i="4"/>
  <c r="C184" i="4"/>
  <c r="B184" i="4"/>
  <c r="A184" i="4"/>
  <c r="H184" i="4" s="1"/>
  <c r="F183" i="4"/>
  <c r="E183" i="4"/>
  <c r="D183" i="4"/>
  <c r="C183" i="4"/>
  <c r="B183" i="4"/>
  <c r="A183" i="4"/>
  <c r="H183" i="4" s="1"/>
  <c r="F182" i="4"/>
  <c r="E182" i="4"/>
  <c r="D182" i="4"/>
  <c r="C182" i="4"/>
  <c r="B182" i="4"/>
  <c r="A182" i="4"/>
  <c r="H182" i="4" s="1"/>
  <c r="F181" i="4"/>
  <c r="E181" i="4"/>
  <c r="D181" i="4"/>
  <c r="C181" i="4"/>
  <c r="B181" i="4"/>
  <c r="A181" i="4"/>
  <c r="H181" i="4" s="1"/>
  <c r="F180" i="4"/>
  <c r="E180" i="4"/>
  <c r="D180" i="4"/>
  <c r="C180" i="4"/>
  <c r="B180" i="4"/>
  <c r="A180" i="4"/>
  <c r="H180" i="4" s="1"/>
  <c r="F179" i="4"/>
  <c r="E179" i="4"/>
  <c r="D179" i="4"/>
  <c r="C179" i="4"/>
  <c r="B179" i="4"/>
  <c r="A179" i="4"/>
  <c r="H179" i="4" s="1"/>
  <c r="F178" i="4"/>
  <c r="E178" i="4"/>
  <c r="D178" i="4"/>
  <c r="C178" i="4"/>
  <c r="B178" i="4"/>
  <c r="A178" i="4"/>
  <c r="H178" i="4" s="1"/>
  <c r="F177" i="4"/>
  <c r="E177" i="4"/>
  <c r="D177" i="4"/>
  <c r="C177" i="4"/>
  <c r="B177" i="4"/>
  <c r="A177" i="4"/>
  <c r="H177" i="4" s="1"/>
  <c r="F176" i="4"/>
  <c r="E176" i="4"/>
  <c r="D176" i="4"/>
  <c r="C176" i="4"/>
  <c r="B176" i="4"/>
  <c r="A176" i="4"/>
  <c r="H176" i="4" s="1"/>
  <c r="F175" i="4"/>
  <c r="E175" i="4"/>
  <c r="D175" i="4"/>
  <c r="C175" i="4"/>
  <c r="B175" i="4"/>
  <c r="A175" i="4"/>
  <c r="H175" i="4" s="1"/>
  <c r="F174" i="4"/>
  <c r="E174" i="4"/>
  <c r="D174" i="4"/>
  <c r="C174" i="4"/>
  <c r="B174" i="4"/>
  <c r="A174" i="4"/>
  <c r="H174" i="4" s="1"/>
  <c r="F173" i="4"/>
  <c r="E173" i="4"/>
  <c r="D173" i="4"/>
  <c r="C173" i="4"/>
  <c r="B173" i="4"/>
  <c r="A173" i="4"/>
  <c r="G173" i="4" s="1"/>
  <c r="F172" i="4"/>
  <c r="E172" i="4"/>
  <c r="D172" i="4"/>
  <c r="C172" i="4"/>
  <c r="B172" i="4"/>
  <c r="A172" i="4"/>
  <c r="H172" i="4" s="1"/>
  <c r="F171" i="4"/>
  <c r="E171" i="4"/>
  <c r="D171" i="4"/>
  <c r="C171" i="4"/>
  <c r="B171" i="4"/>
  <c r="A171" i="4"/>
  <c r="H171" i="4" s="1"/>
  <c r="F170" i="4"/>
  <c r="E170" i="4"/>
  <c r="D170" i="4"/>
  <c r="C170" i="4"/>
  <c r="B170" i="4"/>
  <c r="A170" i="4"/>
  <c r="G170" i="4" s="1"/>
  <c r="F169" i="4"/>
  <c r="E169" i="4"/>
  <c r="D169" i="4"/>
  <c r="C169" i="4"/>
  <c r="B169" i="4"/>
  <c r="A169" i="4"/>
  <c r="H169" i="4" s="1"/>
  <c r="F168" i="4"/>
  <c r="E168" i="4"/>
  <c r="D168" i="4"/>
  <c r="C168" i="4"/>
  <c r="B168" i="4"/>
  <c r="A168" i="4"/>
  <c r="H168" i="4" s="1"/>
  <c r="F167" i="4"/>
  <c r="E167" i="4"/>
  <c r="D167" i="4"/>
  <c r="C167" i="4"/>
  <c r="B167" i="4"/>
  <c r="A167" i="4"/>
  <c r="H167" i="4" s="1"/>
  <c r="F166" i="4"/>
  <c r="E166" i="4"/>
  <c r="D166" i="4"/>
  <c r="C166" i="4"/>
  <c r="B166" i="4"/>
  <c r="A166" i="4"/>
  <c r="H166" i="4" s="1"/>
  <c r="F165" i="4"/>
  <c r="E165" i="4"/>
  <c r="D165" i="4"/>
  <c r="C165" i="4"/>
  <c r="B165" i="4"/>
  <c r="A165" i="4"/>
  <c r="H165" i="4" s="1"/>
  <c r="F164" i="4"/>
  <c r="E164" i="4"/>
  <c r="D164" i="4"/>
  <c r="C164" i="4"/>
  <c r="B164" i="4"/>
  <c r="A164" i="4"/>
  <c r="H164" i="4" s="1"/>
  <c r="F163" i="4"/>
  <c r="E163" i="4"/>
  <c r="D163" i="4"/>
  <c r="C163" i="4"/>
  <c r="B163" i="4"/>
  <c r="A163" i="4"/>
  <c r="H163" i="4" s="1"/>
  <c r="F162" i="4"/>
  <c r="E162" i="4"/>
  <c r="D162" i="4"/>
  <c r="C162" i="4"/>
  <c r="B162" i="4"/>
  <c r="A162" i="4"/>
  <c r="G162" i="4" s="1"/>
  <c r="F161" i="4"/>
  <c r="E161" i="4"/>
  <c r="D161" i="4"/>
  <c r="C161" i="4"/>
  <c r="B161" i="4"/>
  <c r="A161" i="4"/>
  <c r="H161" i="4" s="1"/>
  <c r="F160" i="4"/>
  <c r="E160" i="4"/>
  <c r="D160" i="4"/>
  <c r="C160" i="4"/>
  <c r="B160" i="4"/>
  <c r="A160" i="4"/>
  <c r="H160" i="4" s="1"/>
  <c r="F159" i="4"/>
  <c r="E159" i="4"/>
  <c r="D159" i="4"/>
  <c r="C159" i="4"/>
  <c r="B159" i="4"/>
  <c r="A159" i="4"/>
  <c r="G159" i="4" s="1"/>
  <c r="F158" i="4"/>
  <c r="E158" i="4"/>
  <c r="D158" i="4"/>
  <c r="C158" i="4"/>
  <c r="B158" i="4"/>
  <c r="A158" i="4"/>
  <c r="H158" i="4" s="1"/>
  <c r="F157" i="4"/>
  <c r="E157" i="4"/>
  <c r="D157" i="4"/>
  <c r="C157" i="4"/>
  <c r="B157" i="4"/>
  <c r="A157" i="4"/>
  <c r="H157" i="4" s="1"/>
  <c r="F156" i="4"/>
  <c r="E156" i="4"/>
  <c r="D156" i="4"/>
  <c r="C156" i="4"/>
  <c r="B156" i="4"/>
  <c r="A156" i="4"/>
  <c r="H156" i="4" s="1"/>
  <c r="F155" i="4"/>
  <c r="E155" i="4"/>
  <c r="D155" i="4"/>
  <c r="C155" i="4"/>
  <c r="B155" i="4"/>
  <c r="A155" i="4"/>
  <c r="H155" i="4" s="1"/>
  <c r="F154" i="4"/>
  <c r="E154" i="4"/>
  <c r="D154" i="4"/>
  <c r="C154" i="4"/>
  <c r="B154" i="4"/>
  <c r="A154" i="4"/>
  <c r="H154" i="4" s="1"/>
  <c r="F153" i="4"/>
  <c r="E153" i="4"/>
  <c r="D153" i="4"/>
  <c r="C153" i="4"/>
  <c r="B153" i="4"/>
  <c r="A153" i="4"/>
  <c r="H153" i="4" s="1"/>
  <c r="F152" i="4"/>
  <c r="E152" i="4"/>
  <c r="D152" i="4"/>
  <c r="C152" i="4"/>
  <c r="B152" i="4"/>
  <c r="A152" i="4"/>
  <c r="H152" i="4" s="1"/>
  <c r="F151" i="4"/>
  <c r="E151" i="4"/>
  <c r="D151" i="4"/>
  <c r="C151" i="4"/>
  <c r="B151" i="4"/>
  <c r="A151" i="4"/>
  <c r="H151" i="4" s="1"/>
  <c r="F150" i="4"/>
  <c r="E150" i="4"/>
  <c r="D150" i="4"/>
  <c r="C150" i="4"/>
  <c r="B150" i="4"/>
  <c r="A150" i="4"/>
  <c r="H150" i="4" s="1"/>
  <c r="F149" i="4"/>
  <c r="E149" i="4"/>
  <c r="D149" i="4"/>
  <c r="C149" i="4"/>
  <c r="B149" i="4"/>
  <c r="A149" i="4"/>
  <c r="H149" i="4" s="1"/>
  <c r="F148" i="4"/>
  <c r="E148" i="4"/>
  <c r="D148" i="4"/>
  <c r="C148" i="4"/>
  <c r="B148" i="4"/>
  <c r="A148" i="4"/>
  <c r="H148" i="4" s="1"/>
  <c r="F147" i="4"/>
  <c r="E147" i="4"/>
  <c r="D147" i="4"/>
  <c r="C147" i="4"/>
  <c r="B147" i="4"/>
  <c r="A147" i="4"/>
  <c r="H147" i="4" s="1"/>
  <c r="F146" i="4"/>
  <c r="E146" i="4"/>
  <c r="D146" i="4"/>
  <c r="C146" i="4"/>
  <c r="B146" i="4"/>
  <c r="A146" i="4"/>
  <c r="H146" i="4" s="1"/>
  <c r="F145" i="4"/>
  <c r="E145" i="4"/>
  <c r="D145" i="4"/>
  <c r="C145" i="4"/>
  <c r="B145" i="4"/>
  <c r="A145" i="4"/>
  <c r="H145" i="4" s="1"/>
  <c r="F144" i="4"/>
  <c r="E144" i="4"/>
  <c r="D144" i="4"/>
  <c r="C144" i="4"/>
  <c r="B144" i="4"/>
  <c r="A144" i="4"/>
  <c r="H144" i="4" s="1"/>
  <c r="F143" i="4"/>
  <c r="E143" i="4"/>
  <c r="D143" i="4"/>
  <c r="C143" i="4"/>
  <c r="B143" i="4"/>
  <c r="A143" i="4"/>
  <c r="H143" i="4" s="1"/>
  <c r="F142" i="4"/>
  <c r="E142" i="4"/>
  <c r="D142" i="4"/>
  <c r="C142" i="4"/>
  <c r="B142" i="4"/>
  <c r="A142" i="4"/>
  <c r="H142" i="4" s="1"/>
  <c r="F141" i="4"/>
  <c r="E141" i="4"/>
  <c r="D141" i="4"/>
  <c r="C141" i="4"/>
  <c r="B141" i="4"/>
  <c r="A141" i="4"/>
  <c r="H141" i="4" s="1"/>
  <c r="F140" i="4"/>
  <c r="E140" i="4"/>
  <c r="D140" i="4"/>
  <c r="C140" i="4"/>
  <c r="B140" i="4"/>
  <c r="A140" i="4"/>
  <c r="H140" i="4" s="1"/>
  <c r="F139" i="4"/>
  <c r="E139" i="4"/>
  <c r="D139" i="4"/>
  <c r="C139" i="4"/>
  <c r="B139" i="4"/>
  <c r="A139" i="4"/>
  <c r="H139" i="4" s="1"/>
  <c r="F138" i="4"/>
  <c r="E138" i="4"/>
  <c r="D138" i="4"/>
  <c r="C138" i="4"/>
  <c r="B138" i="4"/>
  <c r="A138" i="4"/>
  <c r="H138" i="4" s="1"/>
  <c r="F137" i="4"/>
  <c r="E137" i="4"/>
  <c r="D137" i="4"/>
  <c r="C137" i="4"/>
  <c r="B137" i="4"/>
  <c r="A137" i="4"/>
  <c r="G137" i="4" s="1"/>
  <c r="F136" i="4"/>
  <c r="E136" i="4"/>
  <c r="D136" i="4"/>
  <c r="C136" i="4"/>
  <c r="B136" i="4"/>
  <c r="A136" i="4"/>
  <c r="H136" i="4" s="1"/>
  <c r="F135" i="4"/>
  <c r="E135" i="4"/>
  <c r="D135" i="4"/>
  <c r="C135" i="4"/>
  <c r="B135" i="4"/>
  <c r="A135" i="4"/>
  <c r="H135" i="4" s="1"/>
  <c r="F134" i="4"/>
  <c r="E134" i="4"/>
  <c r="D134" i="4"/>
  <c r="C134" i="4"/>
  <c r="B134" i="4"/>
  <c r="A134" i="4"/>
  <c r="G134" i="4" s="1"/>
  <c r="F133" i="4"/>
  <c r="E133" i="4"/>
  <c r="D133" i="4"/>
  <c r="C133" i="4"/>
  <c r="B133" i="4"/>
  <c r="A133" i="4"/>
  <c r="H133" i="4" s="1"/>
  <c r="F132" i="4"/>
  <c r="E132" i="4"/>
  <c r="D132" i="4"/>
  <c r="C132" i="4"/>
  <c r="B132" i="4"/>
  <c r="A132" i="4"/>
  <c r="H132" i="4" s="1"/>
  <c r="F131" i="4"/>
  <c r="E131" i="4"/>
  <c r="D131" i="4"/>
  <c r="C131" i="4"/>
  <c r="B131" i="4"/>
  <c r="A131" i="4"/>
  <c r="H131" i="4" s="1"/>
  <c r="F130" i="4"/>
  <c r="E130" i="4"/>
  <c r="D130" i="4"/>
  <c r="C130" i="4"/>
  <c r="B130" i="4"/>
  <c r="A130" i="4"/>
  <c r="H130" i="4" s="1"/>
  <c r="F129" i="4"/>
  <c r="E129" i="4"/>
  <c r="D129" i="4"/>
  <c r="C129" i="4"/>
  <c r="B129" i="4"/>
  <c r="A129" i="4"/>
  <c r="H129" i="4" s="1"/>
  <c r="F128" i="4"/>
  <c r="E128" i="4"/>
  <c r="D128" i="4"/>
  <c r="C128" i="4"/>
  <c r="B128" i="4"/>
  <c r="A128" i="4"/>
  <c r="H128" i="4" s="1"/>
  <c r="F127" i="4"/>
  <c r="E127" i="4"/>
  <c r="D127" i="4"/>
  <c r="C127" i="4"/>
  <c r="B127" i="4"/>
  <c r="A127" i="4"/>
  <c r="H127" i="4" s="1"/>
  <c r="F126" i="4"/>
  <c r="E126" i="4"/>
  <c r="D126" i="4"/>
  <c r="C126" i="4"/>
  <c r="B126" i="4"/>
  <c r="A126" i="4"/>
  <c r="G126" i="4" s="1"/>
  <c r="F125" i="4"/>
  <c r="E125" i="4"/>
  <c r="D125" i="4"/>
  <c r="C125" i="4"/>
  <c r="B125" i="4"/>
  <c r="A125" i="4"/>
  <c r="H125" i="4" s="1"/>
  <c r="F124" i="4"/>
  <c r="E124" i="4"/>
  <c r="D124" i="4"/>
  <c r="C124" i="4"/>
  <c r="B124" i="4"/>
  <c r="A124" i="4"/>
  <c r="H124" i="4" s="1"/>
  <c r="F123" i="4"/>
  <c r="E123" i="4"/>
  <c r="D123" i="4"/>
  <c r="C123" i="4"/>
  <c r="B123" i="4"/>
  <c r="A123" i="4"/>
  <c r="G123" i="4" s="1"/>
  <c r="F122" i="4"/>
  <c r="E122" i="4"/>
  <c r="D122" i="4"/>
  <c r="C122" i="4"/>
  <c r="B122" i="4"/>
  <c r="A122" i="4"/>
  <c r="H122" i="4" s="1"/>
  <c r="F121" i="4"/>
  <c r="E121" i="4"/>
  <c r="D121" i="4"/>
  <c r="C121" i="4"/>
  <c r="B121" i="4"/>
  <c r="A121" i="4"/>
  <c r="H121" i="4" s="1"/>
  <c r="F120" i="4"/>
  <c r="E120" i="4"/>
  <c r="D120" i="4"/>
  <c r="C120" i="4"/>
  <c r="B120" i="4"/>
  <c r="A120" i="4"/>
  <c r="G120" i="4" s="1"/>
  <c r="F119" i="4"/>
  <c r="E119" i="4"/>
  <c r="D119" i="4"/>
  <c r="C119" i="4"/>
  <c r="B119" i="4"/>
  <c r="A119" i="4"/>
  <c r="H119" i="4" s="1"/>
  <c r="F118" i="4"/>
  <c r="E118" i="4"/>
  <c r="D118" i="4"/>
  <c r="C118" i="4"/>
  <c r="B118" i="4"/>
  <c r="A118" i="4"/>
  <c r="H118" i="4" s="1"/>
  <c r="F117" i="4"/>
  <c r="E117" i="4"/>
  <c r="D117" i="4"/>
  <c r="C117" i="4"/>
  <c r="B117" i="4"/>
  <c r="A117" i="4"/>
  <c r="G117" i="4" s="1"/>
  <c r="F116" i="4"/>
  <c r="E116" i="4"/>
  <c r="D116" i="4"/>
  <c r="C116" i="4"/>
  <c r="B116" i="4"/>
  <c r="A116" i="4"/>
  <c r="H116" i="4" s="1"/>
  <c r="F115" i="4"/>
  <c r="E115" i="4"/>
  <c r="D115" i="4"/>
  <c r="C115" i="4"/>
  <c r="B115" i="4"/>
  <c r="A115" i="4"/>
  <c r="H115" i="4" s="1"/>
  <c r="F114" i="4"/>
  <c r="E114" i="4"/>
  <c r="D114" i="4"/>
  <c r="C114" i="4"/>
  <c r="B114" i="4"/>
  <c r="A114" i="4"/>
  <c r="G114" i="4" s="1"/>
  <c r="F113" i="4"/>
  <c r="E113" i="4"/>
  <c r="D113" i="4"/>
  <c r="C113" i="4"/>
  <c r="B113" i="4"/>
  <c r="A113" i="4"/>
  <c r="H113" i="4" s="1"/>
  <c r="F112" i="4"/>
  <c r="E112" i="4"/>
  <c r="D112" i="4"/>
  <c r="C112" i="4"/>
  <c r="B112" i="4"/>
  <c r="A112" i="4"/>
  <c r="H112" i="4" s="1"/>
  <c r="F111" i="4"/>
  <c r="E111" i="4"/>
  <c r="D111" i="4"/>
  <c r="C111" i="4"/>
  <c r="B111" i="4"/>
  <c r="A111" i="4"/>
  <c r="G111" i="4" s="1"/>
  <c r="F110" i="4"/>
  <c r="E110" i="4"/>
  <c r="D110" i="4"/>
  <c r="C110" i="4"/>
  <c r="B110" i="4"/>
  <c r="A110" i="4"/>
  <c r="H110" i="4" s="1"/>
  <c r="F109" i="4"/>
  <c r="E109" i="4"/>
  <c r="D109" i="4"/>
  <c r="C109" i="4"/>
  <c r="B109" i="4"/>
  <c r="A109" i="4"/>
  <c r="H109" i="4" s="1"/>
  <c r="F108" i="4"/>
  <c r="E108" i="4"/>
  <c r="D108" i="4"/>
  <c r="C108" i="4"/>
  <c r="B108" i="4"/>
  <c r="A108" i="4"/>
  <c r="G108" i="4" s="1"/>
  <c r="F107" i="4"/>
  <c r="E107" i="4"/>
  <c r="D107" i="4"/>
  <c r="C107" i="4"/>
  <c r="B107" i="4"/>
  <c r="A107" i="4"/>
  <c r="H107" i="4" s="1"/>
  <c r="F106" i="4"/>
  <c r="E106" i="4"/>
  <c r="D106" i="4"/>
  <c r="C106" i="4"/>
  <c r="B106" i="4"/>
  <c r="A106" i="4"/>
  <c r="H106" i="4" s="1"/>
  <c r="F105" i="4"/>
  <c r="E105" i="4"/>
  <c r="D105" i="4"/>
  <c r="C105" i="4"/>
  <c r="B105" i="4"/>
  <c r="A105" i="4"/>
  <c r="G105" i="4" s="1"/>
  <c r="F104" i="4"/>
  <c r="E104" i="4"/>
  <c r="D104" i="4"/>
  <c r="C104" i="4"/>
  <c r="B104" i="4"/>
  <c r="A104" i="4"/>
  <c r="H104" i="4" s="1"/>
  <c r="F103" i="4"/>
  <c r="E103" i="4"/>
  <c r="D103" i="4"/>
  <c r="C103" i="4"/>
  <c r="B103" i="4"/>
  <c r="A103" i="4"/>
  <c r="H103" i="4" s="1"/>
  <c r="F102" i="4"/>
  <c r="E102" i="4"/>
  <c r="D102" i="4"/>
  <c r="C102" i="4"/>
  <c r="B102" i="4"/>
  <c r="A102" i="4"/>
  <c r="G102" i="4" s="1"/>
  <c r="F101" i="4"/>
  <c r="E101" i="4"/>
  <c r="D101" i="4"/>
  <c r="C101" i="4"/>
  <c r="B101" i="4"/>
  <c r="A101" i="4"/>
  <c r="H101" i="4" s="1"/>
  <c r="F100" i="4"/>
  <c r="E100" i="4"/>
  <c r="D100" i="4"/>
  <c r="C100" i="4"/>
  <c r="B100" i="4"/>
  <c r="A100" i="4"/>
  <c r="H100" i="4" s="1"/>
  <c r="F99" i="4"/>
  <c r="E99" i="4"/>
  <c r="D99" i="4"/>
  <c r="C99" i="4"/>
  <c r="B99" i="4"/>
  <c r="A99" i="4"/>
  <c r="G99" i="4" s="1"/>
  <c r="F98" i="4"/>
  <c r="E98" i="4"/>
  <c r="D98" i="4"/>
  <c r="C98" i="4"/>
  <c r="B98" i="4"/>
  <c r="A98" i="4"/>
  <c r="H98" i="4" s="1"/>
  <c r="F97" i="4"/>
  <c r="E97" i="4"/>
  <c r="D97" i="4"/>
  <c r="C97" i="4"/>
  <c r="B97" i="4"/>
  <c r="A97" i="4"/>
  <c r="H97" i="4" s="1"/>
  <c r="F96" i="4"/>
  <c r="E96" i="4"/>
  <c r="D96" i="4"/>
  <c r="C96" i="4"/>
  <c r="B96" i="4"/>
  <c r="A96" i="4"/>
  <c r="G96" i="4" s="1"/>
  <c r="F95" i="4"/>
  <c r="E95" i="4"/>
  <c r="D95" i="4"/>
  <c r="C95" i="4"/>
  <c r="B95" i="4"/>
  <c r="A95" i="4"/>
  <c r="H95" i="4" s="1"/>
  <c r="F94" i="4"/>
  <c r="E94" i="4"/>
  <c r="D94" i="4"/>
  <c r="C94" i="4"/>
  <c r="B94" i="4"/>
  <c r="A94" i="4"/>
  <c r="H94" i="4" s="1"/>
  <c r="F93" i="4"/>
  <c r="E93" i="4"/>
  <c r="D93" i="4"/>
  <c r="C93" i="4"/>
  <c r="B93" i="4"/>
  <c r="A93" i="4"/>
  <c r="G93" i="4" s="1"/>
  <c r="F92" i="4"/>
  <c r="E92" i="4"/>
  <c r="D92" i="4"/>
  <c r="C92" i="4"/>
  <c r="B92" i="4"/>
  <c r="A92" i="4"/>
  <c r="H92" i="4" s="1"/>
  <c r="F91" i="4"/>
  <c r="E91" i="4"/>
  <c r="D91" i="4"/>
  <c r="C91" i="4"/>
  <c r="B91" i="4"/>
  <c r="A91" i="4"/>
  <c r="H91" i="4" s="1"/>
  <c r="F90" i="4"/>
  <c r="E90" i="4"/>
  <c r="D90" i="4"/>
  <c r="C90" i="4"/>
  <c r="B90" i="4"/>
  <c r="A90" i="4"/>
  <c r="G90" i="4" s="1"/>
  <c r="F89" i="4"/>
  <c r="E89" i="4"/>
  <c r="D89" i="4"/>
  <c r="C89" i="4"/>
  <c r="B89" i="4"/>
  <c r="A89" i="4"/>
  <c r="F88" i="4"/>
  <c r="E88" i="4"/>
  <c r="D88" i="4"/>
  <c r="C88" i="4"/>
  <c r="B88" i="4"/>
  <c r="A88" i="4"/>
  <c r="F87" i="4"/>
  <c r="E87" i="4"/>
  <c r="D87" i="4"/>
  <c r="C87" i="4"/>
  <c r="B87" i="4"/>
  <c r="A87" i="4"/>
  <c r="F86" i="4"/>
  <c r="E86" i="4"/>
  <c r="D86" i="4"/>
  <c r="C86" i="4"/>
  <c r="B86" i="4"/>
  <c r="A86" i="4"/>
  <c r="F85" i="4"/>
  <c r="E85" i="4"/>
  <c r="D85" i="4"/>
  <c r="C85" i="4"/>
  <c r="B85" i="4"/>
  <c r="A85" i="4"/>
  <c r="F84" i="4"/>
  <c r="E84" i="4"/>
  <c r="D84" i="4"/>
  <c r="C84" i="4"/>
  <c r="B84" i="4"/>
  <c r="A84" i="4"/>
  <c r="F83" i="4"/>
  <c r="E83" i="4"/>
  <c r="D83" i="4"/>
  <c r="C83" i="4"/>
  <c r="B83" i="4"/>
  <c r="A83" i="4"/>
  <c r="F82" i="4"/>
  <c r="E82" i="4"/>
  <c r="D82" i="4"/>
  <c r="C82" i="4"/>
  <c r="B82" i="4"/>
  <c r="A82" i="4"/>
  <c r="F81" i="4"/>
  <c r="E81" i="4"/>
  <c r="D81" i="4"/>
  <c r="C81" i="4"/>
  <c r="B81" i="4"/>
  <c r="A81" i="4"/>
  <c r="F80" i="4"/>
  <c r="E80" i="4"/>
  <c r="D80" i="4"/>
  <c r="C80" i="4"/>
  <c r="B80" i="4"/>
  <c r="A80" i="4"/>
  <c r="F79" i="4"/>
  <c r="E79" i="4"/>
  <c r="D79" i="4"/>
  <c r="C79" i="4"/>
  <c r="B79" i="4"/>
  <c r="A79" i="4"/>
  <c r="F78" i="4"/>
  <c r="E78" i="4"/>
  <c r="D78" i="4"/>
  <c r="C78" i="4"/>
  <c r="B78" i="4"/>
  <c r="A78" i="4"/>
  <c r="F77" i="4"/>
  <c r="E77" i="4"/>
  <c r="D77" i="4"/>
  <c r="C77" i="4"/>
  <c r="B77" i="4"/>
  <c r="A77" i="4"/>
  <c r="F76" i="4"/>
  <c r="E76" i="4"/>
  <c r="D76" i="4"/>
  <c r="C76" i="4"/>
  <c r="B76" i="4"/>
  <c r="A76" i="4"/>
  <c r="F75" i="4"/>
  <c r="E75" i="4"/>
  <c r="D75" i="4"/>
  <c r="C75" i="4"/>
  <c r="B75" i="4"/>
  <c r="A75" i="4"/>
  <c r="F74" i="4"/>
  <c r="E74" i="4"/>
  <c r="D74" i="4"/>
  <c r="C74" i="4"/>
  <c r="B74" i="4"/>
  <c r="A74" i="4"/>
  <c r="F73" i="4"/>
  <c r="E73" i="4"/>
  <c r="D73" i="4"/>
  <c r="C73" i="4"/>
  <c r="B73" i="4"/>
  <c r="A73" i="4"/>
  <c r="F72" i="4"/>
  <c r="E72" i="4"/>
  <c r="D72" i="4"/>
  <c r="C72" i="4"/>
  <c r="B72" i="4"/>
  <c r="A72" i="4"/>
  <c r="F71" i="4"/>
  <c r="E71" i="4"/>
  <c r="D71" i="4"/>
  <c r="C71" i="4"/>
  <c r="B71" i="4"/>
  <c r="A71" i="4"/>
  <c r="F70" i="4"/>
  <c r="E70" i="4"/>
  <c r="D70" i="4"/>
  <c r="C70" i="4"/>
  <c r="B70" i="4"/>
  <c r="A70" i="4"/>
  <c r="F69" i="4"/>
  <c r="E69" i="4"/>
  <c r="D69" i="4"/>
  <c r="C69" i="4"/>
  <c r="B69" i="4"/>
  <c r="A69" i="4"/>
  <c r="F68" i="4"/>
  <c r="E68" i="4"/>
  <c r="D68" i="4"/>
  <c r="C68" i="4"/>
  <c r="B68" i="4"/>
  <c r="A68" i="4"/>
  <c r="F67" i="4"/>
  <c r="E67" i="4"/>
  <c r="D67" i="4"/>
  <c r="C67" i="4"/>
  <c r="B67" i="4"/>
  <c r="A67" i="4"/>
  <c r="F66" i="4"/>
  <c r="E66" i="4"/>
  <c r="D66" i="4"/>
  <c r="C66" i="4"/>
  <c r="B66" i="4"/>
  <c r="A66" i="4"/>
  <c r="F65" i="4"/>
  <c r="E65" i="4"/>
  <c r="D65" i="4"/>
  <c r="C65" i="4"/>
  <c r="B65" i="4"/>
  <c r="A65" i="4"/>
  <c r="F64" i="4"/>
  <c r="E64" i="4"/>
  <c r="D64" i="4"/>
  <c r="C64" i="4"/>
  <c r="B64" i="4"/>
  <c r="A64" i="4"/>
  <c r="F63" i="4"/>
  <c r="E63" i="4"/>
  <c r="D63" i="4"/>
  <c r="C63" i="4"/>
  <c r="B63" i="4"/>
  <c r="A63" i="4"/>
  <c r="F62" i="4"/>
  <c r="E62" i="4"/>
  <c r="D62" i="4"/>
  <c r="C62" i="4"/>
  <c r="B62" i="4"/>
  <c r="A62" i="4"/>
  <c r="F61" i="4"/>
  <c r="E61" i="4"/>
  <c r="D61" i="4"/>
  <c r="C61" i="4"/>
  <c r="B61" i="4"/>
  <c r="A61" i="4"/>
  <c r="F60" i="4"/>
  <c r="E60" i="4"/>
  <c r="D60" i="4"/>
  <c r="C60" i="4"/>
  <c r="B60" i="4"/>
  <c r="A60" i="4"/>
  <c r="F59" i="4"/>
  <c r="E59" i="4"/>
  <c r="D59" i="4"/>
  <c r="C59" i="4"/>
  <c r="B59" i="4"/>
  <c r="A59" i="4"/>
  <c r="F58" i="4"/>
  <c r="E58" i="4"/>
  <c r="D58" i="4"/>
  <c r="C58" i="4"/>
  <c r="B58" i="4"/>
  <c r="A58" i="4"/>
  <c r="F57" i="4"/>
  <c r="E57" i="4"/>
  <c r="D57" i="4"/>
  <c r="C57" i="4"/>
  <c r="B57" i="4"/>
  <c r="A57" i="4"/>
  <c r="F56" i="4"/>
  <c r="E56" i="4"/>
  <c r="D56" i="4"/>
  <c r="C56" i="4"/>
  <c r="B56" i="4"/>
  <c r="A56" i="4"/>
  <c r="F55" i="4"/>
  <c r="E55" i="4"/>
  <c r="D55" i="4"/>
  <c r="C55" i="4"/>
  <c r="B55" i="4"/>
  <c r="A55" i="4"/>
  <c r="F54" i="4"/>
  <c r="E54" i="4"/>
  <c r="D54" i="4"/>
  <c r="C54" i="4"/>
  <c r="B54" i="4"/>
  <c r="A54" i="4"/>
  <c r="F53" i="4"/>
  <c r="E53" i="4"/>
  <c r="D53" i="4"/>
  <c r="C53" i="4"/>
  <c r="B53" i="4"/>
  <c r="A53" i="4"/>
  <c r="F52" i="4"/>
  <c r="E52" i="4"/>
  <c r="D52" i="4"/>
  <c r="C52" i="4"/>
  <c r="B52" i="4"/>
  <c r="A52" i="4"/>
  <c r="F51" i="4"/>
  <c r="E51" i="4"/>
  <c r="D51" i="4"/>
  <c r="C51" i="4"/>
  <c r="B51" i="4"/>
  <c r="A51" i="4"/>
  <c r="F50" i="4"/>
  <c r="E50" i="4"/>
  <c r="D50" i="4"/>
  <c r="C50" i="4"/>
  <c r="B50" i="4"/>
  <c r="A50" i="4"/>
  <c r="F49" i="4"/>
  <c r="E49" i="4"/>
  <c r="D49" i="4"/>
  <c r="C49" i="4"/>
  <c r="B49" i="4"/>
  <c r="A49" i="4"/>
  <c r="F48" i="4"/>
  <c r="E48" i="4"/>
  <c r="D48" i="4"/>
  <c r="C48" i="4"/>
  <c r="B48" i="4"/>
  <c r="A48" i="4"/>
  <c r="F47" i="4"/>
  <c r="E47" i="4"/>
  <c r="D47" i="4"/>
  <c r="C47" i="4"/>
  <c r="B47" i="4"/>
  <c r="A47" i="4"/>
  <c r="F46" i="4"/>
  <c r="E46" i="4"/>
  <c r="D46" i="4"/>
  <c r="C46" i="4"/>
  <c r="B46" i="4"/>
  <c r="A46" i="4"/>
  <c r="F45" i="4"/>
  <c r="E45" i="4"/>
  <c r="D45" i="4"/>
  <c r="C45" i="4"/>
  <c r="B45" i="4"/>
  <c r="A45" i="4"/>
  <c r="F44" i="4"/>
  <c r="E44" i="4"/>
  <c r="D44" i="4"/>
  <c r="C44" i="4"/>
  <c r="B44" i="4"/>
  <c r="A44" i="4"/>
  <c r="F43" i="4"/>
  <c r="E43" i="4"/>
  <c r="D43" i="4"/>
  <c r="C43" i="4"/>
  <c r="B43" i="4"/>
  <c r="A43" i="4"/>
  <c r="F42" i="4"/>
  <c r="E42" i="4"/>
  <c r="D42" i="4"/>
  <c r="C42" i="4"/>
  <c r="B42" i="4"/>
  <c r="A42" i="4"/>
  <c r="F41" i="4"/>
  <c r="E41" i="4"/>
  <c r="D41" i="4"/>
  <c r="C41" i="4"/>
  <c r="B41" i="4"/>
  <c r="A41" i="4"/>
  <c r="F40" i="4"/>
  <c r="E40" i="4"/>
  <c r="D40" i="4"/>
  <c r="C40" i="4"/>
  <c r="B40" i="4"/>
  <c r="A40" i="4"/>
  <c r="F39" i="4"/>
  <c r="E39" i="4"/>
  <c r="D39" i="4"/>
  <c r="C39" i="4"/>
  <c r="B39" i="4"/>
  <c r="A39" i="4"/>
  <c r="F38" i="4"/>
  <c r="E38" i="4"/>
  <c r="D38" i="4"/>
  <c r="C38" i="4"/>
  <c r="B38" i="4"/>
  <c r="A38" i="4"/>
  <c r="F37" i="4"/>
  <c r="E37" i="4"/>
  <c r="D37" i="4"/>
  <c r="C37" i="4"/>
  <c r="B37" i="4"/>
  <c r="A37" i="4"/>
  <c r="F36" i="4"/>
  <c r="E36" i="4"/>
  <c r="D36" i="4"/>
  <c r="C36" i="4"/>
  <c r="B36" i="4"/>
  <c r="A36" i="4"/>
  <c r="F35" i="4"/>
  <c r="E35" i="4"/>
  <c r="D35" i="4"/>
  <c r="C35" i="4"/>
  <c r="B35" i="4"/>
  <c r="A35" i="4"/>
  <c r="F34" i="4"/>
  <c r="E34" i="4"/>
  <c r="D34" i="4"/>
  <c r="C34" i="4"/>
  <c r="B34" i="4"/>
  <c r="A34" i="4"/>
  <c r="F33" i="4"/>
  <c r="E33" i="4"/>
  <c r="D33" i="4"/>
  <c r="C33" i="4"/>
  <c r="B33" i="4"/>
  <c r="A33" i="4"/>
  <c r="F32" i="4"/>
  <c r="E32" i="4"/>
  <c r="D32" i="4"/>
  <c r="C32" i="4"/>
  <c r="B32" i="4"/>
  <c r="A32" i="4"/>
  <c r="F31" i="4"/>
  <c r="E31" i="4"/>
  <c r="D31" i="4"/>
  <c r="C31" i="4"/>
  <c r="B31" i="4"/>
  <c r="A31" i="4"/>
  <c r="F30" i="4"/>
  <c r="E30" i="4"/>
  <c r="D30" i="4"/>
  <c r="C30" i="4"/>
  <c r="B30" i="4"/>
  <c r="A30" i="4"/>
  <c r="F29" i="4"/>
  <c r="E29" i="4"/>
  <c r="D29" i="4"/>
  <c r="C29" i="4"/>
  <c r="B29" i="4"/>
  <c r="A29" i="4"/>
  <c r="F28" i="4"/>
  <c r="E28" i="4"/>
  <c r="D28" i="4"/>
  <c r="C28" i="4"/>
  <c r="B28" i="4"/>
  <c r="A28" i="4"/>
  <c r="F27" i="4"/>
  <c r="E27" i="4"/>
  <c r="D27" i="4"/>
  <c r="C27" i="4"/>
  <c r="B27" i="4"/>
  <c r="A27" i="4"/>
  <c r="F26" i="4"/>
  <c r="E26" i="4"/>
  <c r="D26" i="4"/>
  <c r="C26" i="4"/>
  <c r="B26" i="4"/>
  <c r="A26" i="4"/>
  <c r="F25" i="4"/>
  <c r="E25" i="4"/>
  <c r="D25" i="4"/>
  <c r="C25" i="4"/>
  <c r="B25" i="4"/>
  <c r="A25" i="4"/>
  <c r="F24" i="4"/>
  <c r="E24" i="4"/>
  <c r="D24" i="4"/>
  <c r="C24" i="4"/>
  <c r="B24" i="4"/>
  <c r="A24" i="4"/>
  <c r="F23" i="4"/>
  <c r="E23" i="4"/>
  <c r="D23" i="4"/>
  <c r="C23" i="4"/>
  <c r="B23" i="4"/>
  <c r="A23" i="4"/>
  <c r="F22" i="4"/>
  <c r="E22" i="4"/>
  <c r="D22" i="4"/>
  <c r="C22" i="4"/>
  <c r="B22" i="4"/>
  <c r="A22" i="4"/>
  <c r="F21" i="4"/>
  <c r="E21" i="4"/>
  <c r="D21" i="4"/>
  <c r="C21" i="4"/>
  <c r="B21" i="4"/>
  <c r="A21" i="4"/>
  <c r="F20" i="4"/>
  <c r="E20" i="4"/>
  <c r="D20" i="4"/>
  <c r="C20" i="4"/>
  <c r="B20" i="4"/>
  <c r="A20" i="4"/>
  <c r="F19" i="4"/>
  <c r="E19" i="4"/>
  <c r="D19" i="4"/>
  <c r="C19" i="4"/>
  <c r="B19" i="4"/>
  <c r="A19" i="4"/>
  <c r="F18" i="4"/>
  <c r="E18" i="4"/>
  <c r="D18" i="4"/>
  <c r="C18" i="4"/>
  <c r="B18" i="4"/>
  <c r="A18" i="4"/>
  <c r="F17" i="4"/>
  <c r="E17" i="4"/>
  <c r="D17" i="4"/>
  <c r="C17" i="4"/>
  <c r="B17" i="4"/>
  <c r="A17" i="4"/>
  <c r="F16" i="4"/>
  <c r="E16" i="4"/>
  <c r="D16" i="4"/>
  <c r="C16" i="4"/>
  <c r="B16" i="4"/>
  <c r="A16" i="4"/>
  <c r="F15" i="4"/>
  <c r="E15" i="4"/>
  <c r="D15" i="4"/>
  <c r="C15" i="4"/>
  <c r="B15" i="4"/>
  <c r="A15" i="4"/>
  <c r="F14" i="4"/>
  <c r="E14" i="4"/>
  <c r="D14" i="4"/>
  <c r="C14" i="4"/>
  <c r="B14" i="4"/>
  <c r="A14" i="4"/>
  <c r="F13" i="4"/>
  <c r="E13" i="4"/>
  <c r="D13" i="4"/>
  <c r="C13" i="4"/>
  <c r="B13" i="4"/>
  <c r="A13" i="4"/>
  <c r="F12" i="4"/>
  <c r="E12" i="4"/>
  <c r="D12" i="4"/>
  <c r="C12" i="4"/>
  <c r="B12" i="4"/>
  <c r="A12" i="4"/>
  <c r="F11" i="4"/>
  <c r="E11" i="4"/>
  <c r="D11" i="4"/>
  <c r="C11" i="4"/>
  <c r="B11" i="4"/>
  <c r="A11" i="4"/>
  <c r="F10" i="4"/>
  <c r="E10" i="4"/>
  <c r="D10" i="4"/>
  <c r="C10" i="4"/>
  <c r="B10" i="4"/>
  <c r="A10" i="4"/>
  <c r="F9" i="4"/>
  <c r="E9" i="4"/>
  <c r="D9" i="4"/>
  <c r="C9" i="4"/>
  <c r="B9" i="4"/>
  <c r="A9" i="4"/>
  <c r="F8" i="4"/>
  <c r="E8" i="4"/>
  <c r="D8" i="4"/>
  <c r="C8" i="4"/>
  <c r="B8" i="4"/>
  <c r="A8" i="4"/>
  <c r="F7" i="4"/>
  <c r="E7" i="4"/>
  <c r="D7" i="4"/>
  <c r="C7" i="4"/>
  <c r="B7" i="4"/>
  <c r="A7" i="4"/>
  <c r="F6" i="4"/>
  <c r="E6" i="4"/>
  <c r="D6" i="4"/>
  <c r="C6" i="4"/>
  <c r="B6" i="4"/>
  <c r="A6" i="4"/>
  <c r="F5" i="4"/>
  <c r="E5" i="4"/>
  <c r="D5" i="4"/>
  <c r="C5" i="4"/>
  <c r="B5" i="4"/>
  <c r="A5" i="4"/>
  <c r="F4" i="4"/>
  <c r="E4" i="4"/>
  <c r="D4" i="4"/>
  <c r="C4" i="4"/>
  <c r="B4" i="4"/>
  <c r="A4" i="4"/>
  <c r="F3" i="4"/>
  <c r="E3" i="4"/>
  <c r="D3" i="4"/>
  <c r="C3" i="4"/>
  <c r="B3" i="4"/>
  <c r="A3" i="4"/>
  <c r="F2" i="4"/>
  <c r="E2" i="4"/>
  <c r="D2" i="4"/>
  <c r="C2" i="4"/>
  <c r="B2" i="4"/>
  <c r="A2" i="4"/>
  <c r="D12" i="2"/>
  <c r="G12" i="2" s="1"/>
  <c r="G5" i="2"/>
  <c r="H5" i="2" l="1"/>
  <c r="G69" i="4"/>
  <c r="G75" i="4"/>
  <c r="G81" i="4"/>
  <c r="G78" i="4"/>
  <c r="G84" i="4"/>
  <c r="G87" i="4"/>
  <c r="H87" i="4" s="1"/>
  <c r="G72" i="4"/>
  <c r="G56" i="4"/>
  <c r="H56" i="4" s="1"/>
  <c r="G38" i="4"/>
  <c r="H38" i="4" s="1"/>
  <c r="H985" i="4"/>
  <c r="G29" i="4"/>
  <c r="H29" i="4" s="1"/>
  <c r="H791" i="4"/>
  <c r="H568" i="4"/>
  <c r="H997" i="4"/>
  <c r="G564" i="4"/>
  <c r="G746" i="4"/>
  <c r="G774" i="4"/>
  <c r="G809" i="4"/>
  <c r="H762" i="4"/>
  <c r="H991" i="4"/>
  <c r="H225" i="4"/>
  <c r="G377" i="4"/>
  <c r="G749" i="4"/>
  <c r="H559" i="4"/>
  <c r="G11" i="4"/>
  <c r="H11" i="4" s="1"/>
  <c r="H254" i="4"/>
  <c r="G47" i="4"/>
  <c r="H47" i="4" s="1"/>
  <c r="G376" i="4"/>
  <c r="G653" i="4"/>
  <c r="G155" i="4"/>
  <c r="H677" i="4"/>
  <c r="H239" i="4"/>
  <c r="G20" i="4"/>
  <c r="H20" i="4" s="1"/>
  <c r="G365" i="4"/>
  <c r="H604" i="4"/>
  <c r="G161" i="4"/>
  <c r="H284" i="4"/>
  <c r="G128" i="4"/>
  <c r="H519" i="4"/>
  <c r="H782" i="4"/>
  <c r="H545" i="4"/>
  <c r="H584" i="4"/>
  <c r="H269" i="4"/>
  <c r="H868" i="4"/>
  <c r="G65" i="4"/>
  <c r="H65" i="4" s="1"/>
  <c r="H228" i="4"/>
  <c r="G287" i="4"/>
  <c r="G462" i="4"/>
  <c r="G567" i="4"/>
  <c r="H668" i="4"/>
  <c r="G89" i="4"/>
  <c r="H89" i="4" s="1"/>
  <c r="G468" i="4"/>
  <c r="G297" i="4"/>
  <c r="G573" i="4"/>
  <c r="G704" i="4"/>
  <c r="G101" i="4"/>
  <c r="H230" i="4"/>
  <c r="G156" i="4"/>
  <c r="H203" i="4"/>
  <c r="G323" i="4"/>
  <c r="G396" i="4"/>
  <c r="H493" i="4"/>
  <c r="H602" i="4"/>
  <c r="H710" i="4"/>
  <c r="G125" i="4"/>
  <c r="G205" i="4"/>
  <c r="H279" i="4"/>
  <c r="H495" i="4"/>
  <c r="H522" i="4"/>
  <c r="G242" i="4"/>
  <c r="H528" i="4"/>
  <c r="G139" i="4"/>
  <c r="G172" i="4"/>
  <c r="H751" i="4"/>
  <c r="G92" i="4"/>
  <c r="G141" i="4"/>
  <c r="G186" i="4"/>
  <c r="H264" i="4"/>
  <c r="G318" i="4"/>
  <c r="H466" i="4"/>
  <c r="G507" i="4"/>
  <c r="H644" i="4"/>
  <c r="H701" i="4"/>
  <c r="G740" i="4"/>
  <c r="G788" i="4"/>
  <c r="H841" i="4"/>
  <c r="H928" i="4"/>
  <c r="H517" i="4"/>
  <c r="H589" i="4"/>
  <c r="H934" i="4"/>
  <c r="G804" i="4"/>
  <c r="H889" i="4"/>
  <c r="H940" i="4"/>
  <c r="G344" i="4"/>
  <c r="H656" i="4"/>
  <c r="G713" i="4"/>
  <c r="G777" i="4"/>
  <c r="G806" i="4"/>
  <c r="H913" i="4"/>
  <c r="G214" i="4"/>
  <c r="G282" i="4"/>
  <c r="G354" i="4"/>
  <c r="H409" i="4"/>
  <c r="H498" i="4"/>
  <c r="H607" i="4"/>
  <c r="G779" i="4"/>
  <c r="H919" i="4"/>
  <c r="G299" i="4"/>
  <c r="H504" i="4"/>
  <c r="G629" i="4"/>
  <c r="H737" i="4"/>
  <c r="H925" i="4"/>
  <c r="G71" i="4"/>
  <c r="H71" i="4" s="1"/>
  <c r="G107" i="4"/>
  <c r="G188" i="4"/>
  <c r="H394" i="4"/>
  <c r="H551" i="4"/>
  <c r="G625" i="4"/>
  <c r="H683" i="4"/>
  <c r="H719" i="4"/>
  <c r="H811" i="4"/>
  <c r="H862" i="4"/>
  <c r="G200" i="4"/>
  <c r="H236" i="4"/>
  <c r="G251" i="4"/>
  <c r="G266" i="4"/>
  <c r="G335" i="4"/>
  <c r="G356" i="4"/>
  <c r="H445" i="4"/>
  <c r="H510" i="4"/>
  <c r="G540" i="4"/>
  <c r="H557" i="4"/>
  <c r="H587" i="4"/>
  <c r="G98" i="4"/>
  <c r="G130" i="4"/>
  <c r="G158" i="4"/>
  <c r="G181" i="4"/>
  <c r="G305" i="4"/>
  <c r="G320" i="4"/>
  <c r="H484" i="4"/>
  <c r="H514" i="4"/>
  <c r="G83" i="4"/>
  <c r="H83" i="4" s="1"/>
  <c r="G119" i="4"/>
  <c r="G153" i="4"/>
  <c r="G261" i="4"/>
  <c r="G379" i="4"/>
  <c r="G486" i="4"/>
  <c r="H516" i="4"/>
  <c r="G578" i="4"/>
  <c r="H674" i="4"/>
  <c r="G695" i="4"/>
  <c r="G731" i="4"/>
  <c r="G776" i="4"/>
  <c r="H847" i="4"/>
  <c r="G300" i="4"/>
  <c r="G315" i="4"/>
  <c r="G351" i="4"/>
  <c r="H370" i="4"/>
  <c r="G420" i="4"/>
  <c r="H505" i="4"/>
  <c r="H529" i="4"/>
  <c r="H620" i="4"/>
  <c r="G649" i="4"/>
  <c r="G765" i="4"/>
  <c r="H853" i="4"/>
  <c r="H892" i="4"/>
  <c r="H970" i="4"/>
  <c r="G471" i="4"/>
  <c r="G531" i="4"/>
  <c r="H898" i="4"/>
  <c r="H976" i="4"/>
  <c r="G74" i="4"/>
  <c r="H74" i="4" s="1"/>
  <c r="G110" i="4"/>
  <c r="G144" i="4"/>
  <c r="H170" i="4"/>
  <c r="H191" i="4"/>
  <c r="G216" i="4"/>
  <c r="G302" i="4"/>
  <c r="G330" i="4"/>
  <c r="G432" i="4"/>
  <c r="H475" i="4"/>
  <c r="H556" i="4"/>
  <c r="H586" i="4"/>
  <c r="G686" i="4"/>
  <c r="G722" i="4"/>
  <c r="G771" i="4"/>
  <c r="H793" i="4"/>
  <c r="H826" i="4"/>
  <c r="H904" i="4"/>
  <c r="H982" i="4"/>
  <c r="G477" i="4"/>
  <c r="H605" i="4"/>
  <c r="H760" i="4"/>
  <c r="H832" i="4"/>
  <c r="H877" i="4"/>
  <c r="H949" i="4"/>
  <c r="G80" i="4"/>
  <c r="H80" i="4" s="1"/>
  <c r="G116" i="4"/>
  <c r="G150" i="4"/>
  <c r="G237" i="4"/>
  <c r="G342" i="4"/>
  <c r="H363" i="4"/>
  <c r="G378" i="4"/>
  <c r="H397" i="4"/>
  <c r="H502" i="4"/>
  <c r="H526" i="4"/>
  <c r="G543" i="4"/>
  <c r="G575" i="4"/>
  <c r="H632" i="4"/>
  <c r="H692" i="4"/>
  <c r="H728" i="4"/>
  <c r="H883" i="4"/>
  <c r="H955" i="4"/>
  <c r="H961" i="4"/>
  <c r="G8" i="4"/>
  <c r="H8" i="4" s="1"/>
  <c r="G17" i="4"/>
  <c r="H17" i="4" s="1"/>
  <c r="G26" i="4"/>
  <c r="H26" i="4" s="1"/>
  <c r="G35" i="4"/>
  <c r="H35" i="4" s="1"/>
  <c r="G44" i="4"/>
  <c r="H44" i="4" s="1"/>
  <c r="G53" i="4"/>
  <c r="H53" i="4" s="1"/>
  <c r="G62" i="4"/>
  <c r="H62" i="4" s="1"/>
  <c r="G542" i="4"/>
  <c r="G554" i="4"/>
  <c r="G167" i="4"/>
  <c r="G183" i="4"/>
  <c r="G202" i="4"/>
  <c r="G211" i="4"/>
  <c r="G227" i="4"/>
  <c r="G258" i="4"/>
  <c r="G263" i="4"/>
  <c r="G276" i="4"/>
  <c r="G281" i="4"/>
  <c r="G294" i="4"/>
  <c r="G312" i="4"/>
  <c r="G317" i="4"/>
  <c r="G346" i="4"/>
  <c r="G367" i="4"/>
  <c r="G385" i="4"/>
  <c r="G417" i="4"/>
  <c r="H436" i="4"/>
  <c r="H457" i="4"/>
  <c r="H134" i="4"/>
  <c r="H195" i="4"/>
  <c r="G213" i="4"/>
  <c r="G341" i="4"/>
  <c r="G459" i="4"/>
  <c r="H481" i="4"/>
  <c r="H490" i="4"/>
  <c r="G570" i="4"/>
  <c r="G579" i="4"/>
  <c r="G622" i="4"/>
  <c r="G646" i="4"/>
  <c r="H755" i="4"/>
  <c r="H799" i="4"/>
  <c r="H838" i="4"/>
  <c r="H874" i="4"/>
  <c r="H910" i="4"/>
  <c r="H946" i="4"/>
  <c r="D19" i="2"/>
  <c r="G136" i="4"/>
  <c r="G152" i="4"/>
  <c r="G169" i="4"/>
  <c r="G178" i="4"/>
  <c r="G197" i="4"/>
  <c r="G222" i="4"/>
  <c r="H246" i="4"/>
  <c r="G260" i="4"/>
  <c r="G273" i="4"/>
  <c r="G278" i="4"/>
  <c r="G291" i="4"/>
  <c r="G296" i="4"/>
  <c r="G309" i="4"/>
  <c r="G314" i="4"/>
  <c r="G327" i="4"/>
  <c r="G332" i="4"/>
  <c r="G355" i="4"/>
  <c r="G393" i="4"/>
  <c r="H406" i="4"/>
  <c r="H472" i="4"/>
  <c r="G483" i="4"/>
  <c r="G492" i="4"/>
  <c r="G537" i="4"/>
  <c r="G581" i="4"/>
  <c r="G599" i="4"/>
  <c r="G617" i="4"/>
  <c r="G637" i="4"/>
  <c r="G661" i="4"/>
  <c r="H757" i="4"/>
  <c r="G773" i="4"/>
  <c r="H790" i="4"/>
  <c r="G801" i="4"/>
  <c r="G819" i="4"/>
  <c r="H859" i="4"/>
  <c r="H895" i="4"/>
  <c r="H931" i="4"/>
  <c r="H967" i="4"/>
  <c r="G14" i="4"/>
  <c r="H14" i="4" s="1"/>
  <c r="G23" i="4"/>
  <c r="H23" i="4" s="1"/>
  <c r="G32" i="4"/>
  <c r="H32" i="4" s="1"/>
  <c r="G41" i="4"/>
  <c r="H41" i="4" s="1"/>
  <c r="G50" i="4"/>
  <c r="H50" i="4" s="1"/>
  <c r="G59" i="4"/>
  <c r="H59" i="4" s="1"/>
  <c r="G68" i="4"/>
  <c r="H68" i="4" s="1"/>
  <c r="G77" i="4"/>
  <c r="H77" i="4" s="1"/>
  <c r="G86" i="4"/>
  <c r="H86" i="4" s="1"/>
  <c r="G95" i="4"/>
  <c r="G104" i="4"/>
  <c r="G113" i="4"/>
  <c r="G122" i="4"/>
  <c r="G145" i="4"/>
  <c r="G164" i="4"/>
  <c r="G180" i="4"/>
  <c r="G192" i="4"/>
  <c r="G248" i="4"/>
  <c r="G255" i="4"/>
  <c r="H334" i="4"/>
  <c r="G343" i="4"/>
  <c r="G371" i="4"/>
  <c r="G408" i="4"/>
  <c r="H448" i="4"/>
  <c r="H463" i="4"/>
  <c r="G474" i="4"/>
  <c r="H499" i="4"/>
  <c r="H511" i="4"/>
  <c r="H523" i="4"/>
  <c r="G539" i="4"/>
  <c r="G553" i="4"/>
  <c r="G565" i="4"/>
  <c r="G641" i="4"/>
  <c r="G665" i="4"/>
  <c r="G680" i="4"/>
  <c r="G689" i="4"/>
  <c r="G698" i="4"/>
  <c r="G707" i="4"/>
  <c r="G716" i="4"/>
  <c r="G725" i="4"/>
  <c r="G734" i="4"/>
  <c r="G743" i="4"/>
  <c r="H766" i="4"/>
  <c r="G785" i="4"/>
  <c r="G803" i="4"/>
  <c r="H821" i="4"/>
  <c r="H844" i="4"/>
  <c r="H880" i="4"/>
  <c r="H916" i="4"/>
  <c r="H952" i="4"/>
  <c r="H988" i="4"/>
  <c r="G131" i="4"/>
  <c r="G147" i="4"/>
  <c r="H206" i="4"/>
  <c r="G243" i="4"/>
  <c r="G257" i="4"/>
  <c r="G270" i="4"/>
  <c r="G275" i="4"/>
  <c r="G288" i="4"/>
  <c r="G293" i="4"/>
  <c r="G306" i="4"/>
  <c r="G311" i="4"/>
  <c r="G324" i="4"/>
  <c r="G329" i="4"/>
  <c r="G352" i="4"/>
  <c r="G366" i="4"/>
  <c r="G384" i="4"/>
  <c r="H421" i="4"/>
  <c r="G450" i="4"/>
  <c r="G465" i="4"/>
  <c r="G501" i="4"/>
  <c r="G513" i="4"/>
  <c r="G525" i="4"/>
  <c r="G548" i="4"/>
  <c r="G576" i="4"/>
  <c r="G583" i="4"/>
  <c r="G601" i="4"/>
  <c r="G619" i="4"/>
  <c r="G752" i="4"/>
  <c r="G768" i="4"/>
  <c r="H823" i="4"/>
  <c r="H865" i="4"/>
  <c r="H901" i="4"/>
  <c r="H937" i="4"/>
  <c r="H973" i="4"/>
  <c r="G166" i="4"/>
  <c r="G175" i="4"/>
  <c r="G189" i="4"/>
  <c r="G194" i="4"/>
  <c r="G208" i="4"/>
  <c r="G217" i="4"/>
  <c r="G233" i="4"/>
  <c r="G340" i="4"/>
  <c r="G357" i="4"/>
  <c r="H454" i="4"/>
  <c r="H487" i="4"/>
  <c r="H787" i="4"/>
  <c r="H796" i="4"/>
  <c r="H812" i="4"/>
  <c r="H850" i="4"/>
  <c r="H886" i="4"/>
  <c r="H922" i="4"/>
  <c r="H958" i="4"/>
  <c r="H994" i="4"/>
  <c r="G133" i="4"/>
  <c r="G142" i="4"/>
  <c r="H159" i="4"/>
  <c r="G177" i="4"/>
  <c r="G219" i="4"/>
  <c r="G240" i="4"/>
  <c r="G245" i="4"/>
  <c r="G267" i="4"/>
  <c r="G272" i="4"/>
  <c r="G285" i="4"/>
  <c r="G290" i="4"/>
  <c r="G303" i="4"/>
  <c r="G308" i="4"/>
  <c r="G321" i="4"/>
  <c r="G326" i="4"/>
  <c r="G480" i="4"/>
  <c r="G489" i="4"/>
  <c r="H496" i="4"/>
  <c r="H508" i="4"/>
  <c r="H520" i="4"/>
  <c r="H532" i="4"/>
  <c r="G550" i="4"/>
  <c r="G562" i="4"/>
  <c r="H592" i="4"/>
  <c r="H610" i="4"/>
  <c r="H754" i="4"/>
  <c r="H763" i="4"/>
  <c r="H780" i="4"/>
  <c r="G798" i="4"/>
  <c r="H814" i="4"/>
  <c r="H871" i="4"/>
  <c r="H907" i="4"/>
  <c r="H943" i="4"/>
  <c r="H979" i="4"/>
  <c r="G331" i="4"/>
  <c r="G368" i="4"/>
  <c r="G405" i="4"/>
  <c r="H418" i="4"/>
  <c r="G441" i="4"/>
  <c r="G534" i="4"/>
  <c r="G596" i="4"/>
  <c r="G614" i="4"/>
  <c r="G634" i="4"/>
  <c r="G658" i="4"/>
  <c r="G816" i="4"/>
  <c r="H856" i="4"/>
  <c r="H964" i="4"/>
  <c r="H1000" i="4"/>
  <c r="G3" i="4"/>
  <c r="H3" i="4" s="1"/>
  <c r="G12" i="4"/>
  <c r="H12" i="4" s="1"/>
  <c r="G21" i="4"/>
  <c r="H21" i="4" s="1"/>
  <c r="G30" i="4"/>
  <c r="H30" i="4" s="1"/>
  <c r="G39" i="4"/>
  <c r="H39" i="4" s="1"/>
  <c r="G48" i="4"/>
  <c r="H48" i="4" s="1"/>
  <c r="G57" i="4"/>
  <c r="H57" i="4" s="1"/>
  <c r="G66" i="4"/>
  <c r="H66" i="4" s="1"/>
  <c r="G7" i="4"/>
  <c r="H7" i="4" s="1"/>
  <c r="G16" i="4"/>
  <c r="H16" i="4" s="1"/>
  <c r="G25" i="4"/>
  <c r="H25" i="4" s="1"/>
  <c r="G34" i="4"/>
  <c r="H34" i="4" s="1"/>
  <c r="G43" i="4"/>
  <c r="H43" i="4" s="1"/>
  <c r="G52" i="4"/>
  <c r="H52" i="4" s="1"/>
  <c r="G61" i="4"/>
  <c r="H61" i="4" s="1"/>
  <c r="G70" i="4"/>
  <c r="H70" i="4" s="1"/>
  <c r="G9" i="4"/>
  <c r="H9" i="4" s="1"/>
  <c r="G18" i="4"/>
  <c r="H18" i="4" s="1"/>
  <c r="G27" i="4"/>
  <c r="H27" i="4" s="1"/>
  <c r="G36" i="4"/>
  <c r="H36" i="4" s="1"/>
  <c r="G45" i="4"/>
  <c r="H45" i="4" s="1"/>
  <c r="G54" i="4"/>
  <c r="H54" i="4" s="1"/>
  <c r="G63" i="4"/>
  <c r="H63" i="4" s="1"/>
  <c r="G4" i="4"/>
  <c r="H4" i="4" s="1"/>
  <c r="G5" i="4"/>
  <c r="H5" i="4" s="1"/>
  <c r="G13" i="4"/>
  <c r="H13" i="4" s="1"/>
  <c r="G22" i="4"/>
  <c r="H22" i="4" s="1"/>
  <c r="G31" i="4"/>
  <c r="H31" i="4" s="1"/>
  <c r="G40" i="4"/>
  <c r="H40" i="4" s="1"/>
  <c r="G49" i="4"/>
  <c r="H49" i="4" s="1"/>
  <c r="G58" i="4"/>
  <c r="H58" i="4" s="1"/>
  <c r="G67" i="4"/>
  <c r="H67" i="4" s="1"/>
  <c r="G6" i="4"/>
  <c r="H6" i="4" s="1"/>
  <c r="G15" i="4"/>
  <c r="H15" i="4" s="1"/>
  <c r="G24" i="4"/>
  <c r="H24" i="4" s="1"/>
  <c r="G33" i="4"/>
  <c r="H33" i="4" s="1"/>
  <c r="G42" i="4"/>
  <c r="H42" i="4" s="1"/>
  <c r="G51" i="4"/>
  <c r="H51" i="4" s="1"/>
  <c r="G60" i="4"/>
  <c r="H60" i="4" s="1"/>
  <c r="G2" i="4"/>
  <c r="H2" i="4" s="1"/>
  <c r="G10" i="4"/>
  <c r="H10" i="4" s="1"/>
  <c r="G19" i="4"/>
  <c r="H19" i="4" s="1"/>
  <c r="G28" i="4"/>
  <c r="H28" i="4" s="1"/>
  <c r="G37" i="4"/>
  <c r="H37" i="4" s="1"/>
  <c r="G46" i="4"/>
  <c r="H46" i="4" s="1"/>
  <c r="G55" i="4"/>
  <c r="H55" i="4" s="1"/>
  <c r="G64" i="4"/>
  <c r="H64" i="4" s="1"/>
  <c r="H69" i="4"/>
  <c r="H72" i="4"/>
  <c r="H75" i="4"/>
  <c r="H78" i="4"/>
  <c r="H81" i="4"/>
  <c r="H84" i="4"/>
  <c r="H90" i="4"/>
  <c r="H93" i="4"/>
  <c r="H96" i="4"/>
  <c r="H99" i="4"/>
  <c r="H102" i="4"/>
  <c r="H105" i="4"/>
  <c r="H108" i="4"/>
  <c r="H111" i="4"/>
  <c r="H114" i="4"/>
  <c r="H117" i="4"/>
  <c r="H120" i="4"/>
  <c r="H123" i="4"/>
  <c r="H126" i="4"/>
  <c r="H137" i="4"/>
  <c r="G148" i="4"/>
  <c r="H162" i="4"/>
  <c r="H173" i="4"/>
  <c r="G184" i="4"/>
  <c r="H198" i="4"/>
  <c r="H209" i="4"/>
  <c r="G220" i="4"/>
  <c r="H232" i="4"/>
  <c r="G232" i="4"/>
  <c r="H250" i="4"/>
  <c r="G250" i="4"/>
  <c r="H268" i="4"/>
  <c r="G268" i="4"/>
  <c r="H286" i="4"/>
  <c r="G286" i="4"/>
  <c r="H304" i="4"/>
  <c r="G304" i="4"/>
  <c r="H229" i="4"/>
  <c r="G229" i="4"/>
  <c r="H247" i="4"/>
  <c r="G247" i="4"/>
  <c r="H265" i="4"/>
  <c r="G265" i="4"/>
  <c r="H283" i="4"/>
  <c r="G283" i="4"/>
  <c r="H301" i="4"/>
  <c r="G301" i="4"/>
  <c r="H226" i="4"/>
  <c r="G226" i="4"/>
  <c r="H244" i="4"/>
  <c r="G244" i="4"/>
  <c r="H262" i="4"/>
  <c r="G262" i="4"/>
  <c r="H280" i="4"/>
  <c r="G280" i="4"/>
  <c r="H298" i="4"/>
  <c r="G298" i="4"/>
  <c r="G224" i="4"/>
  <c r="H241" i="4"/>
  <c r="G241" i="4"/>
  <c r="H259" i="4"/>
  <c r="G259" i="4"/>
  <c r="H277" i="4"/>
  <c r="G277" i="4"/>
  <c r="H295" i="4"/>
  <c r="G295" i="4"/>
  <c r="G73" i="4"/>
  <c r="H73" i="4" s="1"/>
  <c r="G76" i="4"/>
  <c r="H76" i="4" s="1"/>
  <c r="G79" i="4"/>
  <c r="H79" i="4" s="1"/>
  <c r="G82" i="4"/>
  <c r="H82" i="4" s="1"/>
  <c r="G85" i="4"/>
  <c r="H85" i="4" s="1"/>
  <c r="G88" i="4"/>
  <c r="H88" i="4" s="1"/>
  <c r="G91" i="4"/>
  <c r="G94" i="4"/>
  <c r="G97" i="4"/>
  <c r="G100" i="4"/>
  <c r="G103" i="4"/>
  <c r="G106" i="4"/>
  <c r="G109" i="4"/>
  <c r="G112" i="4"/>
  <c r="G115" i="4"/>
  <c r="G118" i="4"/>
  <c r="G121" i="4"/>
  <c r="G124" i="4"/>
  <c r="G127" i="4"/>
  <c r="G138" i="4"/>
  <c r="G149" i="4"/>
  <c r="G163" i="4"/>
  <c r="G174" i="4"/>
  <c r="G185" i="4"/>
  <c r="G199" i="4"/>
  <c r="G210" i="4"/>
  <c r="G221" i="4"/>
  <c r="G135" i="4"/>
  <c r="G146" i="4"/>
  <c r="G160" i="4"/>
  <c r="G171" i="4"/>
  <c r="G182" i="4"/>
  <c r="G196" i="4"/>
  <c r="G207" i="4"/>
  <c r="G218" i="4"/>
  <c r="G234" i="4"/>
  <c r="H238" i="4"/>
  <c r="G238" i="4"/>
  <c r="G252" i="4"/>
  <c r="H256" i="4"/>
  <c r="G256" i="4"/>
  <c r="H274" i="4"/>
  <c r="G274" i="4"/>
  <c r="H292" i="4"/>
  <c r="G292" i="4"/>
  <c r="H310" i="4"/>
  <c r="G310" i="4"/>
  <c r="G132" i="4"/>
  <c r="G143" i="4"/>
  <c r="G157" i="4"/>
  <c r="G168" i="4"/>
  <c r="G179" i="4"/>
  <c r="G193" i="4"/>
  <c r="G204" i="4"/>
  <c r="G215" i="4"/>
  <c r="H12" i="2"/>
  <c r="G129" i="4"/>
  <c r="G140" i="4"/>
  <c r="G154" i="4"/>
  <c r="G165" i="4"/>
  <c r="G176" i="4"/>
  <c r="G190" i="4"/>
  <c r="G201" i="4"/>
  <c r="G212" i="4"/>
  <c r="G231" i="4"/>
  <c r="H235" i="4"/>
  <c r="G235" i="4"/>
  <c r="G249" i="4"/>
  <c r="H253" i="4"/>
  <c r="G253" i="4"/>
  <c r="H271" i="4"/>
  <c r="G271" i="4"/>
  <c r="H289" i="4"/>
  <c r="G289" i="4"/>
  <c r="H307" i="4"/>
  <c r="G307" i="4"/>
  <c r="G151" i="4"/>
  <c r="G187" i="4"/>
  <c r="G223" i="4"/>
  <c r="G338" i="4"/>
  <c r="G349" i="4"/>
  <c r="G360" i="4"/>
  <c r="G374" i="4"/>
  <c r="G382" i="4"/>
  <c r="H386" i="4"/>
  <c r="G386" i="4"/>
  <c r="G387" i="4"/>
  <c r="H398" i="4"/>
  <c r="G398" i="4"/>
  <c r="G399" i="4"/>
  <c r="H410" i="4"/>
  <c r="G410" i="4"/>
  <c r="G411" i="4"/>
  <c r="H422" i="4"/>
  <c r="G422" i="4"/>
  <c r="G423" i="4"/>
  <c r="H430" i="4"/>
  <c r="H439" i="4"/>
  <c r="H431" i="4"/>
  <c r="G431" i="4"/>
  <c r="H440" i="4"/>
  <c r="G440" i="4"/>
  <c r="H449" i="4"/>
  <c r="G449" i="4"/>
  <c r="H458" i="4"/>
  <c r="G458" i="4"/>
  <c r="H467" i="4"/>
  <c r="G467" i="4"/>
  <c r="H476" i="4"/>
  <c r="G476" i="4"/>
  <c r="H383" i="4"/>
  <c r="G383" i="4"/>
  <c r="H395" i="4"/>
  <c r="G395" i="4"/>
  <c r="H407" i="4"/>
  <c r="G407" i="4"/>
  <c r="H419" i="4"/>
  <c r="G419" i="4"/>
  <c r="G337" i="4"/>
  <c r="G348" i="4"/>
  <c r="G362" i="4"/>
  <c r="G373" i="4"/>
  <c r="H380" i="4"/>
  <c r="G380" i="4"/>
  <c r="G381" i="4"/>
  <c r="H427" i="4"/>
  <c r="G345" i="4"/>
  <c r="G359" i="4"/>
  <c r="H391" i="4"/>
  <c r="H403" i="4"/>
  <c r="H415" i="4"/>
  <c r="H428" i="4"/>
  <c r="G428" i="4"/>
  <c r="G429" i="4"/>
  <c r="H437" i="4"/>
  <c r="G437" i="4"/>
  <c r="G438" i="4"/>
  <c r="H446" i="4"/>
  <c r="G446" i="4"/>
  <c r="G447" i="4"/>
  <c r="H455" i="4"/>
  <c r="G455" i="4"/>
  <c r="G456" i="4"/>
  <c r="H464" i="4"/>
  <c r="G464" i="4"/>
  <c r="H473" i="4"/>
  <c r="G473" i="4"/>
  <c r="H392" i="4"/>
  <c r="G392" i="4"/>
  <c r="H404" i="4"/>
  <c r="G404" i="4"/>
  <c r="H416" i="4"/>
  <c r="G416" i="4"/>
  <c r="G313" i="4"/>
  <c r="G316" i="4"/>
  <c r="G319" i="4"/>
  <c r="G322" i="4"/>
  <c r="G325" i="4"/>
  <c r="G328" i="4"/>
  <c r="G339" i="4"/>
  <c r="G353" i="4"/>
  <c r="G364" i="4"/>
  <c r="G375" i="4"/>
  <c r="G336" i="4"/>
  <c r="G350" i="4"/>
  <c r="G361" i="4"/>
  <c r="G372" i="4"/>
  <c r="H388" i="4"/>
  <c r="H400" i="4"/>
  <c r="H412" i="4"/>
  <c r="H424" i="4"/>
  <c r="H433" i="4"/>
  <c r="H442" i="4"/>
  <c r="H451" i="4"/>
  <c r="H460" i="4"/>
  <c r="H469" i="4"/>
  <c r="H478" i="4"/>
  <c r="G333" i="4"/>
  <c r="G347" i="4"/>
  <c r="G358" i="4"/>
  <c r="G369" i="4"/>
  <c r="H389" i="4"/>
  <c r="G389" i="4"/>
  <c r="G390" i="4"/>
  <c r="H401" i="4"/>
  <c r="G401" i="4"/>
  <c r="G402" i="4"/>
  <c r="H413" i="4"/>
  <c r="G413" i="4"/>
  <c r="G414" i="4"/>
  <c r="H425" i="4"/>
  <c r="G425" i="4"/>
  <c r="G426" i="4"/>
  <c r="H434" i="4"/>
  <c r="G434" i="4"/>
  <c r="G435" i="4"/>
  <c r="H443" i="4"/>
  <c r="G443" i="4"/>
  <c r="G444" i="4"/>
  <c r="H452" i="4"/>
  <c r="G452" i="4"/>
  <c r="G453" i="4"/>
  <c r="H461" i="4"/>
  <c r="G461" i="4"/>
  <c r="H470" i="4"/>
  <c r="G470" i="4"/>
  <c r="H624" i="4"/>
  <c r="G624" i="4"/>
  <c r="H636" i="4"/>
  <c r="G636" i="4"/>
  <c r="H648" i="4"/>
  <c r="G648" i="4"/>
  <c r="H660" i="4"/>
  <c r="G660" i="4"/>
  <c r="G808" i="4"/>
  <c r="H808" i="4"/>
  <c r="H840" i="4"/>
  <c r="G840" i="4"/>
  <c r="H857" i="4"/>
  <c r="G857" i="4"/>
  <c r="H876" i="4"/>
  <c r="G876" i="4"/>
  <c r="H893" i="4"/>
  <c r="G893" i="4"/>
  <c r="H929" i="4"/>
  <c r="G929" i="4"/>
  <c r="H965" i="4"/>
  <c r="G965" i="4"/>
  <c r="H588" i="4"/>
  <c r="G588" i="4"/>
  <c r="H606" i="4"/>
  <c r="G606" i="4"/>
  <c r="H669" i="4"/>
  <c r="G669" i="4"/>
  <c r="H678" i="4"/>
  <c r="G678" i="4"/>
  <c r="H687" i="4"/>
  <c r="G687" i="4"/>
  <c r="H696" i="4"/>
  <c r="G696" i="4"/>
  <c r="H759" i="4"/>
  <c r="G759" i="4"/>
  <c r="H585" i="4"/>
  <c r="G585" i="4"/>
  <c r="H603" i="4"/>
  <c r="G603" i="4"/>
  <c r="H621" i="4"/>
  <c r="G621" i="4"/>
  <c r="H633" i="4"/>
  <c r="G633" i="4"/>
  <c r="H645" i="4"/>
  <c r="G645" i="4"/>
  <c r="H657" i="4"/>
  <c r="G657" i="4"/>
  <c r="H664" i="4"/>
  <c r="G664" i="4"/>
  <c r="H673" i="4"/>
  <c r="G673" i="4"/>
  <c r="H682" i="4"/>
  <c r="G682" i="4"/>
  <c r="H691" i="4"/>
  <c r="G691" i="4"/>
  <c r="H700" i="4"/>
  <c r="G700" i="4"/>
  <c r="H709" i="4"/>
  <c r="G709" i="4"/>
  <c r="H718" i="4"/>
  <c r="G718" i="4"/>
  <c r="H727" i="4"/>
  <c r="G727" i="4"/>
  <c r="H736" i="4"/>
  <c r="G736" i="4"/>
  <c r="H745" i="4"/>
  <c r="G745" i="4"/>
  <c r="H825" i="4"/>
  <c r="G825" i="4"/>
  <c r="H770" i="4"/>
  <c r="G770" i="4"/>
  <c r="H582" i="4"/>
  <c r="G582" i="4"/>
  <c r="H600" i="4"/>
  <c r="G600" i="4"/>
  <c r="H618" i="4"/>
  <c r="G618" i="4"/>
  <c r="H666" i="4"/>
  <c r="G666" i="4"/>
  <c r="H675" i="4"/>
  <c r="G675" i="4"/>
  <c r="H684" i="4"/>
  <c r="G684" i="4"/>
  <c r="H693" i="4"/>
  <c r="G693" i="4"/>
  <c r="H702" i="4"/>
  <c r="G702" i="4"/>
  <c r="G536" i="4"/>
  <c r="G547" i="4"/>
  <c r="G561" i="4"/>
  <c r="G572" i="4"/>
  <c r="H630" i="4"/>
  <c r="G630" i="4"/>
  <c r="G631" i="4"/>
  <c r="H642" i="4"/>
  <c r="G642" i="4"/>
  <c r="G643" i="4"/>
  <c r="H654" i="4"/>
  <c r="G654" i="4"/>
  <c r="G655" i="4"/>
  <c r="G818" i="4"/>
  <c r="H818" i="4"/>
  <c r="G479" i="4"/>
  <c r="G482" i="4"/>
  <c r="G485" i="4"/>
  <c r="G488" i="4"/>
  <c r="G491" i="4"/>
  <c r="G494" i="4"/>
  <c r="G497" i="4"/>
  <c r="G500" i="4"/>
  <c r="G503" i="4"/>
  <c r="G506" i="4"/>
  <c r="G509" i="4"/>
  <c r="G512" i="4"/>
  <c r="G515" i="4"/>
  <c r="G518" i="4"/>
  <c r="G521" i="4"/>
  <c r="G524" i="4"/>
  <c r="G527" i="4"/>
  <c r="G530" i="4"/>
  <c r="G533" i="4"/>
  <c r="G544" i="4"/>
  <c r="G558" i="4"/>
  <c r="G569" i="4"/>
  <c r="G580" i="4"/>
  <c r="G593" i="4"/>
  <c r="H597" i="4"/>
  <c r="G597" i="4"/>
  <c r="G598" i="4"/>
  <c r="G611" i="4"/>
  <c r="H615" i="4"/>
  <c r="G615" i="4"/>
  <c r="G616" i="4"/>
  <c r="G626" i="4"/>
  <c r="G638" i="4"/>
  <c r="G650" i="4"/>
  <c r="G662" i="4"/>
  <c r="H670" i="4"/>
  <c r="G670" i="4"/>
  <c r="G671" i="4"/>
  <c r="H679" i="4"/>
  <c r="G679" i="4"/>
  <c r="H688" i="4"/>
  <c r="G688" i="4"/>
  <c r="H697" i="4"/>
  <c r="G697" i="4"/>
  <c r="H706" i="4"/>
  <c r="G706" i="4"/>
  <c r="H715" i="4"/>
  <c r="G715" i="4"/>
  <c r="H724" i="4"/>
  <c r="G724" i="4"/>
  <c r="H733" i="4"/>
  <c r="G733" i="4"/>
  <c r="H742" i="4"/>
  <c r="G742" i="4"/>
  <c r="G784" i="4"/>
  <c r="H784" i="4"/>
  <c r="G541" i="4"/>
  <c r="G555" i="4"/>
  <c r="G566" i="4"/>
  <c r="G577" i="4"/>
  <c r="G538" i="4"/>
  <c r="G552" i="4"/>
  <c r="G563" i="4"/>
  <c r="G574" i="4"/>
  <c r="G590" i="4"/>
  <c r="H594" i="4"/>
  <c r="G594" i="4"/>
  <c r="G595" i="4"/>
  <c r="G608" i="4"/>
  <c r="H612" i="4"/>
  <c r="G612" i="4"/>
  <c r="G613" i="4"/>
  <c r="H627" i="4"/>
  <c r="G627" i="4"/>
  <c r="G628" i="4"/>
  <c r="H639" i="4"/>
  <c r="G639" i="4"/>
  <c r="G640" i="4"/>
  <c r="H651" i="4"/>
  <c r="G651" i="4"/>
  <c r="G652" i="4"/>
  <c r="H663" i="4"/>
  <c r="G663" i="4"/>
  <c r="H672" i="4"/>
  <c r="G672" i="4"/>
  <c r="H681" i="4"/>
  <c r="G681" i="4"/>
  <c r="H690" i="4"/>
  <c r="G690" i="4"/>
  <c r="H699" i="4"/>
  <c r="G699" i="4"/>
  <c r="H795" i="4"/>
  <c r="G795" i="4"/>
  <c r="G535" i="4"/>
  <c r="G549" i="4"/>
  <c r="G560" i="4"/>
  <c r="G571" i="4"/>
  <c r="G623" i="4"/>
  <c r="G635" i="4"/>
  <c r="G647" i="4"/>
  <c r="G659" i="4"/>
  <c r="G546" i="4"/>
  <c r="H591" i="4"/>
  <c r="G591" i="4"/>
  <c r="H609" i="4"/>
  <c r="G609" i="4"/>
  <c r="H667" i="4"/>
  <c r="G667" i="4"/>
  <c r="H676" i="4"/>
  <c r="G676" i="4"/>
  <c r="H685" i="4"/>
  <c r="G685" i="4"/>
  <c r="H694" i="4"/>
  <c r="G694" i="4"/>
  <c r="H703" i="4"/>
  <c r="G703" i="4"/>
  <c r="H712" i="4"/>
  <c r="G712" i="4"/>
  <c r="H721" i="4"/>
  <c r="G721" i="4"/>
  <c r="H730" i="4"/>
  <c r="G730" i="4"/>
  <c r="H739" i="4"/>
  <c r="G739" i="4"/>
  <c r="G748" i="4"/>
  <c r="H748" i="4"/>
  <c r="H842" i="4"/>
  <c r="G842" i="4"/>
  <c r="H861" i="4"/>
  <c r="G861" i="4"/>
  <c r="H878" i="4"/>
  <c r="G878" i="4"/>
  <c r="H897" i="4"/>
  <c r="G897" i="4"/>
  <c r="H914" i="4"/>
  <c r="G914" i="4"/>
  <c r="H950" i="4"/>
  <c r="G950" i="4"/>
  <c r="H986" i="4"/>
  <c r="G986" i="4"/>
  <c r="H846" i="4"/>
  <c r="G846" i="4"/>
  <c r="H863" i="4"/>
  <c r="G863" i="4"/>
  <c r="H882" i="4"/>
  <c r="G882" i="4"/>
  <c r="H899" i="4"/>
  <c r="G899" i="4"/>
  <c r="H935" i="4"/>
  <c r="G935" i="4"/>
  <c r="H971" i="4"/>
  <c r="G971" i="4"/>
  <c r="H831" i="4"/>
  <c r="G831" i="4"/>
  <c r="H848" i="4"/>
  <c r="G848" i="4"/>
  <c r="H867" i="4"/>
  <c r="G867" i="4"/>
  <c r="H884" i="4"/>
  <c r="G884" i="4"/>
  <c r="H903" i="4"/>
  <c r="G903" i="4"/>
  <c r="H920" i="4"/>
  <c r="G920" i="4"/>
  <c r="H956" i="4"/>
  <c r="G956" i="4"/>
  <c r="H992" i="4"/>
  <c r="G992" i="4"/>
  <c r="H822" i="4"/>
  <c r="G822" i="4"/>
  <c r="H833" i="4"/>
  <c r="G833" i="4"/>
  <c r="H852" i="4"/>
  <c r="G852" i="4"/>
  <c r="H869" i="4"/>
  <c r="G869" i="4"/>
  <c r="H888" i="4"/>
  <c r="G888" i="4"/>
  <c r="H905" i="4"/>
  <c r="G905" i="4"/>
  <c r="H941" i="4"/>
  <c r="G941" i="4"/>
  <c r="H977" i="4"/>
  <c r="G977" i="4"/>
  <c r="H837" i="4"/>
  <c r="G837" i="4"/>
  <c r="H854" i="4"/>
  <c r="G854" i="4"/>
  <c r="H873" i="4"/>
  <c r="G873" i="4"/>
  <c r="H890" i="4"/>
  <c r="G890" i="4"/>
  <c r="H926" i="4"/>
  <c r="G926" i="4"/>
  <c r="H962" i="4"/>
  <c r="G962" i="4"/>
  <c r="H998" i="4"/>
  <c r="G998" i="4"/>
  <c r="H839" i="4"/>
  <c r="G839" i="4"/>
  <c r="H858" i="4"/>
  <c r="G858" i="4"/>
  <c r="H875" i="4"/>
  <c r="G875" i="4"/>
  <c r="H894" i="4"/>
  <c r="G894" i="4"/>
  <c r="H911" i="4"/>
  <c r="G911" i="4"/>
  <c r="H947" i="4"/>
  <c r="G947" i="4"/>
  <c r="H983" i="4"/>
  <c r="G983" i="4"/>
  <c r="G756" i="4"/>
  <c r="G767" i="4"/>
  <c r="H781" i="4"/>
  <c r="G792" i="4"/>
  <c r="G800" i="4"/>
  <c r="G813" i="4"/>
  <c r="H827" i="4"/>
  <c r="H843" i="4"/>
  <c r="G843" i="4"/>
  <c r="H860" i="4"/>
  <c r="G860" i="4"/>
  <c r="H879" i="4"/>
  <c r="G879" i="4"/>
  <c r="H896" i="4"/>
  <c r="G896" i="4"/>
  <c r="H932" i="4"/>
  <c r="G932" i="4"/>
  <c r="H968" i="4"/>
  <c r="G968" i="4"/>
  <c r="G753" i="4"/>
  <c r="G764" i="4"/>
  <c r="H778" i="4"/>
  <c r="G789" i="4"/>
  <c r="H805" i="4"/>
  <c r="H820" i="4"/>
  <c r="H828" i="4"/>
  <c r="G828" i="4"/>
  <c r="H829" i="4"/>
  <c r="H845" i="4"/>
  <c r="G845" i="4"/>
  <c r="H864" i="4"/>
  <c r="G864" i="4"/>
  <c r="H881" i="4"/>
  <c r="G881" i="4"/>
  <c r="H900" i="4"/>
  <c r="G900" i="4"/>
  <c r="H917" i="4"/>
  <c r="G917" i="4"/>
  <c r="H953" i="4"/>
  <c r="G953" i="4"/>
  <c r="H989" i="4"/>
  <c r="G989" i="4"/>
  <c r="G750" i="4"/>
  <c r="G761" i="4"/>
  <c r="H775" i="4"/>
  <c r="G786" i="4"/>
  <c r="G797" i="4"/>
  <c r="G810" i="4"/>
  <c r="H815" i="4"/>
  <c r="H830" i="4"/>
  <c r="G830" i="4"/>
  <c r="H849" i="4"/>
  <c r="G849" i="4"/>
  <c r="H866" i="4"/>
  <c r="G866" i="4"/>
  <c r="H885" i="4"/>
  <c r="G885" i="4"/>
  <c r="H902" i="4"/>
  <c r="G902" i="4"/>
  <c r="H938" i="4"/>
  <c r="G938" i="4"/>
  <c r="H974" i="4"/>
  <c r="G974" i="4"/>
  <c r="G705" i="4"/>
  <c r="G708" i="4"/>
  <c r="G711" i="4"/>
  <c r="G714" i="4"/>
  <c r="G717" i="4"/>
  <c r="G720" i="4"/>
  <c r="G723" i="4"/>
  <c r="G726" i="4"/>
  <c r="G729" i="4"/>
  <c r="G732" i="4"/>
  <c r="G735" i="4"/>
  <c r="G738" i="4"/>
  <c r="G741" i="4"/>
  <c r="G744" i="4"/>
  <c r="G747" i="4"/>
  <c r="G758" i="4"/>
  <c r="H772" i="4"/>
  <c r="G783" i="4"/>
  <c r="G794" i="4"/>
  <c r="H802" i="4"/>
  <c r="H834" i="4"/>
  <c r="G834" i="4"/>
  <c r="H835" i="4"/>
  <c r="H851" i="4"/>
  <c r="G851" i="4"/>
  <c r="H870" i="4"/>
  <c r="G870" i="4"/>
  <c r="H887" i="4"/>
  <c r="G887" i="4"/>
  <c r="H923" i="4"/>
  <c r="G923" i="4"/>
  <c r="H959" i="4"/>
  <c r="G959" i="4"/>
  <c r="H995" i="4"/>
  <c r="G995" i="4"/>
  <c r="H769" i="4"/>
  <c r="G807" i="4"/>
  <c r="H817" i="4"/>
  <c r="H824" i="4"/>
  <c r="H836" i="4"/>
  <c r="G836" i="4"/>
  <c r="H855" i="4"/>
  <c r="G855" i="4"/>
  <c r="H872" i="4"/>
  <c r="G872" i="4"/>
  <c r="H891" i="4"/>
  <c r="G891" i="4"/>
  <c r="H908" i="4"/>
  <c r="G908" i="4"/>
  <c r="H944" i="4"/>
  <c r="G944" i="4"/>
  <c r="H980" i="4"/>
  <c r="G980" i="4"/>
  <c r="G906" i="4"/>
  <c r="G909" i="4"/>
  <c r="G912" i="4"/>
  <c r="G915" i="4"/>
  <c r="G918" i="4"/>
  <c r="G921" i="4"/>
  <c r="G924" i="4"/>
  <c r="G927" i="4"/>
  <c r="G930" i="4"/>
  <c r="G933" i="4"/>
  <c r="G936" i="4"/>
  <c r="G939" i="4"/>
  <c r="G942" i="4"/>
  <c r="G945" i="4"/>
  <c r="G948" i="4"/>
  <c r="G951" i="4"/>
  <c r="G954" i="4"/>
  <c r="G957" i="4"/>
  <c r="G960" i="4"/>
  <c r="G963" i="4"/>
  <c r="G966" i="4"/>
  <c r="G969" i="4"/>
  <c r="G972" i="4"/>
  <c r="G975" i="4"/>
  <c r="G978" i="4"/>
  <c r="G981" i="4"/>
  <c r="G984" i="4"/>
  <c r="G987" i="4"/>
  <c r="G990" i="4"/>
  <c r="G993" i="4"/>
  <c r="G996" i="4"/>
  <c r="G999" i="4"/>
  <c r="H6" i="2" l="1"/>
  <c r="G6" i="2"/>
  <c r="F6" i="2"/>
  <c r="E6" i="2"/>
  <c r="D6" i="2"/>
  <c r="G19" i="2"/>
  <c r="D26" i="2"/>
  <c r="H19" i="2"/>
  <c r="D33" i="2" l="1"/>
  <c r="G26" i="2"/>
  <c r="H26" i="2"/>
  <c r="D40" i="2" l="1"/>
  <c r="G33" i="2"/>
  <c r="H33" i="2"/>
  <c r="F41" i="2" l="1"/>
  <c r="H41" i="2"/>
  <c r="E41" i="2"/>
  <c r="D41" i="2"/>
  <c r="H42" i="2"/>
  <c r="E42" i="2"/>
  <c r="G42" i="2"/>
  <c r="F42" i="2"/>
  <c r="D42" i="2"/>
  <c r="G41" i="2"/>
  <c r="H40" i="2"/>
  <c r="G40" i="2"/>
  <c r="D47" i="2"/>
  <c r="G47" i="2" l="1"/>
  <c r="H47" i="2"/>
  <c r="D54" i="2"/>
  <c r="D61" i="2" l="1"/>
  <c r="G54" i="2"/>
  <c r="H54" i="2"/>
  <c r="G61" i="2" l="1"/>
  <c r="H61" i="2"/>
  <c r="D68" i="2"/>
  <c r="H69" i="2" l="1"/>
  <c r="G69" i="2"/>
  <c r="F69" i="2"/>
  <c r="E69" i="2"/>
  <c r="D69" i="2"/>
  <c r="G68" i="2"/>
  <c r="H68" i="2"/>
  <c r="D75" i="2"/>
  <c r="G75" i="2" l="1"/>
  <c r="D82" i="2"/>
  <c r="H75" i="2"/>
  <c r="D89" i="2" l="1"/>
  <c r="H82" i="2"/>
  <c r="G82" i="2"/>
  <c r="G89" i="2" l="1"/>
  <c r="D96" i="2"/>
  <c r="H89" i="2"/>
  <c r="G96" i="2" l="1"/>
  <c r="H96" i="2"/>
  <c r="D103" i="2"/>
  <c r="D110" i="2" l="1"/>
  <c r="H103" i="2"/>
  <c r="G103" i="2"/>
  <c r="H110" i="2" l="1"/>
  <c r="G110" i="2"/>
  <c r="D117" i="2"/>
  <c r="G117" i="2" l="1"/>
  <c r="D124" i="2"/>
  <c r="H117" i="2"/>
  <c r="D131" i="2" l="1"/>
  <c r="H124" i="2"/>
  <c r="G124" i="2"/>
  <c r="G131" i="2" l="1"/>
  <c r="H131" i="2"/>
  <c r="D138" i="2"/>
  <c r="G138" i="2" l="1"/>
  <c r="H138" i="2"/>
  <c r="D145" i="2"/>
  <c r="G145" i="2" l="1"/>
  <c r="H145" i="2"/>
  <c r="D152" i="2"/>
  <c r="G152" i="2" l="1"/>
  <c r="H152" i="2"/>
  <c r="D159" i="2"/>
  <c r="G159" i="2" l="1"/>
  <c r="D166" i="2"/>
  <c r="H159" i="2"/>
  <c r="H166" i="2" l="1"/>
  <c r="G166" i="2"/>
  <c r="D173" i="2"/>
  <c r="G173" i="2" l="1"/>
  <c r="H173" i="2"/>
  <c r="D180" i="2"/>
  <c r="G180" i="2" l="1"/>
  <c r="D187" i="2"/>
  <c r="H180" i="2"/>
  <c r="H187" i="2" l="1"/>
  <c r="G187" i="2"/>
  <c r="D194" i="2"/>
  <c r="H194" i="2" l="1"/>
  <c r="D201" i="2"/>
  <c r="G194" i="2"/>
  <c r="G201" i="2" l="1"/>
  <c r="D208" i="2"/>
  <c r="H201" i="2"/>
  <c r="G208" i="2" l="1"/>
  <c r="D215" i="2"/>
  <c r="H208" i="2"/>
  <c r="G215" i="2" l="1"/>
  <c r="H215" i="2"/>
  <c r="H222" i="2" s="1"/>
</calcChain>
</file>

<file path=xl/sharedStrings.xml><?xml version="1.0" encoding="utf-8"?>
<sst xmlns="http://schemas.openxmlformats.org/spreadsheetml/2006/main" count="40" uniqueCount="34">
  <si>
    <t>Monthly Timesheet</t>
  </si>
  <si>
    <t>Resource Name:</t>
  </si>
  <si>
    <t>Muhammad Fatir</t>
  </si>
  <si>
    <t>Month:</t>
  </si>
  <si>
    <t>Grand Total</t>
  </si>
  <si>
    <t>Project</t>
  </si>
  <si>
    <t>Client</t>
  </si>
  <si>
    <t>Description</t>
  </si>
  <si>
    <t>Task</t>
  </si>
  <si>
    <t>User</t>
  </si>
  <si>
    <t>Group</t>
  </si>
  <si>
    <t>Email</t>
  </si>
  <si>
    <t>Tags</t>
  </si>
  <si>
    <t>Billable</t>
  </si>
  <si>
    <t>Start Date</t>
  </si>
  <si>
    <t>Start Time</t>
  </si>
  <si>
    <t>End Date</t>
  </si>
  <si>
    <t>End Time</t>
  </si>
  <si>
    <t>Duration (h)</t>
  </si>
  <si>
    <t>Duration (decimal)</t>
  </si>
  <si>
    <t>Mfatir</t>
  </si>
  <si>
    <t>Date</t>
  </si>
  <si>
    <t>Type</t>
  </si>
  <si>
    <t>Task / Description</t>
  </si>
  <si>
    <t>Duration</t>
  </si>
  <si>
    <t>Entry #</t>
  </si>
  <si>
    <t>Key</t>
  </si>
  <si>
    <t>ATM Link (Content Revision / Editing)</t>
  </si>
  <si>
    <t>ATM Link Newsletter Management (Creation, Upload, Distribution)</t>
  </si>
  <si>
    <t>4G Wireless Extention</t>
  </si>
  <si>
    <t>Newsletter Upload ATM Security Threats 2026</t>
  </si>
  <si>
    <t>ATM Link Article / Content Publishing (Website, Marketplace, Social Platforms)</t>
  </si>
  <si>
    <t>Article ATM Security Threats 2026 Publish on Website, Marketplace, LinkedIn Facebook</t>
  </si>
  <si>
    <t>Newsletter Independance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</si>
</sst>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h]:mm"/>
    <numFmt numFmtId="165" formatCode="mmmm\ d\,\ yyyy"/>
    <numFmt numFmtId="166" formatCode="[$-409]h:mm\ AM/PM;@"/>
    <numFmt numFmtId="167" formatCode="dd\/mm\/yyyy"/>
    <numFmt numFmtId="168" formatCode="hh:mm:ss"/>
    <numFmt numFmtId="169" formatCode="dd/mm/yyyy"/>
  </numFmts>
  <fonts count="14"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i/>
      <sz val="10"/>
      <color rgb="FF666666"/>
      <name val="Arial"/>
      <family val="2"/>
    </font>
    <font>
      <b/>
      <sz val="10"/>
      <color rgb="FFFFFFFF"/>
      <name val="Arial"/>
      <family val="2"/>
    </font>
    <font>
      <b/>
      <sz val="10"/>
      <color rgb="FF006100"/>
      <name val="Arial"/>
      <family val="2"/>
    </font>
    <font>
      <sz val="10"/>
      <name val="DejaVu Sans"/>
    </font>
    <font>
      <sz val="11"/>
      <name val="Arial"/>
      <family val="2"/>
    </font>
    <font>
      <sz val="11"/>
      <name val="Carlito"/>
    </font>
    <font>
      <sz val="10"/>
      <name val="Carlito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</patternFill>
    </fill>
    <fill>
      <patternFill patternType="solid">
        <fgColor rgb="FF8064A2"/>
      </patternFill>
    </fill>
  </fills>
  <borders count="10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double">
        <color theme="0" tint="-0.14993743705557422"/>
      </bottom>
      <diagonal/>
    </border>
    <border>
      <left/>
      <right/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D9D9D9"/>
      </left>
      <right style="thin">
        <color rgb="FFF2F2F2"/>
      </right>
      <top style="thin">
        <color rgb="FFD9D9D9"/>
      </top>
      <bottom style="thin">
        <color rgb="FFD9D9D9"/>
      </bottom>
      <diagonal/>
    </border>
    <border>
      <left style="thin">
        <color rgb="FFF2F2F2"/>
      </left>
      <right style="thin">
        <color rgb="FFF2F2F2"/>
      </right>
      <top style="thin">
        <color rgb="FFD9D9D9"/>
      </top>
      <bottom style="thin">
        <color rgb="FFD9D9D9"/>
      </bottom>
      <diagonal/>
    </border>
    <border>
      <left style="thin">
        <color rgb="FFF2F2F2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43" fontId="3" fillId="0" borderId="0"/>
    <xf numFmtId="0" fontId="4" fillId="0" borderId="0"/>
    <xf numFmtId="0" fontId="12" fillId="0" borderId="0"/>
  </cellStyleXfs>
  <cellXfs count="46">
    <xf numFmtId="0" fontId="0" fillId="0" borderId="0" xfId="0"/>
    <xf numFmtId="0" fontId="1" fillId="0" borderId="0" xfId="0" applyFont="1" applyAlignment="1">
      <alignment vertical="center"/>
    </xf>
    <xf numFmtId="0" fontId="1" fillId="2" borderId="1" xfId="2" applyFont="1" applyFill="1" applyBorder="1" applyAlignment="1">
      <alignment vertical="center"/>
    </xf>
    <xf numFmtId="43" fontId="1" fillId="2" borderId="1" xfId="1" applyFont="1" applyFill="1" applyBorder="1" applyAlignment="1">
      <alignment vertical="center"/>
    </xf>
    <xf numFmtId="43" fontId="5" fillId="0" borderId="1" xfId="1" applyFont="1" applyBorder="1" applyAlignment="1">
      <alignment vertical="center"/>
    </xf>
    <xf numFmtId="0" fontId="4" fillId="0" borderId="0" xfId="2"/>
    <xf numFmtId="0" fontId="1" fillId="2" borderId="1" xfId="2" applyFont="1" applyFill="1" applyBorder="1" applyAlignment="1">
      <alignment horizontal="left" vertical="center" indent="1"/>
    </xf>
    <xf numFmtId="20" fontId="5" fillId="0" borderId="1" xfId="2" applyNumberFormat="1" applyFont="1" applyBorder="1" applyAlignment="1">
      <alignment horizontal="left" vertical="center" indent="1"/>
    </xf>
    <xf numFmtId="20" fontId="5" fillId="0" borderId="1" xfId="2" applyNumberFormat="1" applyFont="1" applyBorder="1" applyAlignment="1">
      <alignment horizontal="left" vertical="center" wrapText="1" indent="1"/>
    </xf>
    <xf numFmtId="0" fontId="2" fillId="0" borderId="0" xfId="0" applyFont="1" applyAlignment="1">
      <alignment horizontal="left" wrapText="1" indent="1"/>
    </xf>
    <xf numFmtId="165" fontId="6" fillId="2" borderId="1" xfId="2" applyNumberFormat="1" applyFont="1" applyFill="1" applyBorder="1" applyAlignment="1">
      <alignment horizontal="left" vertical="center" indent="1"/>
    </xf>
    <xf numFmtId="164" fontId="1" fillId="2" borderId="1" xfId="2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3" fontId="3" fillId="0" borderId="0" xfId="1" applyAlignment="1">
      <alignment vertical="center"/>
    </xf>
    <xf numFmtId="17" fontId="3" fillId="0" borderId="0" xfId="0" quotePrefix="1" applyNumberFormat="1" applyFont="1" applyAlignment="1">
      <alignment horizontal="center" vertical="center"/>
    </xf>
    <xf numFmtId="164" fontId="1" fillId="2" borderId="1" xfId="2" applyNumberFormat="1" applyFont="1" applyFill="1" applyBorder="1" applyAlignment="1">
      <alignment horizontal="right" vertical="center"/>
    </xf>
    <xf numFmtId="166" fontId="5" fillId="0" borderId="1" xfId="2" applyNumberFormat="1" applyFont="1" applyBorder="1" applyAlignment="1">
      <alignment horizontal="left" vertical="center" indent="1"/>
    </xf>
    <xf numFmtId="43" fontId="5" fillId="0" borderId="1" xfId="1" applyFont="1" applyBorder="1" applyAlignment="1">
      <alignment horizontal="left" vertical="center"/>
    </xf>
    <xf numFmtId="164" fontId="4" fillId="0" borderId="0" xfId="2" applyNumberFormat="1"/>
    <xf numFmtId="0" fontId="8" fillId="3" borderId="5" xfId="0" applyFont="1" applyFill="1" applyBorder="1" applyAlignment="1">
      <alignment horizontal="center"/>
    </xf>
    <xf numFmtId="0" fontId="9" fillId="0" borderId="0" xfId="0" applyFont="1"/>
    <xf numFmtId="0" fontId="8" fillId="4" borderId="0" xfId="0" applyFont="1" applyFill="1" applyAlignment="1">
      <alignment horizontal="center"/>
    </xf>
    <xf numFmtId="166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0" fillId="0" borderId="6" xfId="0" applyFont="1" applyBorder="1" applyAlignment="1">
      <alignment vertical="center"/>
    </xf>
    <xf numFmtId="167" fontId="10" fillId="0" borderId="6" xfId="0" applyNumberFormat="1" applyFont="1" applyBorder="1" applyAlignment="1">
      <alignment vertical="center"/>
    </xf>
    <xf numFmtId="168" fontId="10" fillId="0" borderId="6" xfId="0" applyNumberFormat="1" applyFont="1" applyBorder="1" applyAlignment="1">
      <alignment horizontal="right" vertical="center"/>
    </xf>
    <xf numFmtId="4" fontId="10" fillId="0" borderId="6" xfId="0" applyNumberFormat="1" applyFont="1" applyBorder="1" applyAlignment="1">
      <alignment horizontal="right" vertical="center"/>
    </xf>
    <xf numFmtId="0" fontId="11" fillId="0" borderId="7" xfId="0" applyFont="1" applyBorder="1" applyAlignment="1">
      <alignment vertical="center"/>
    </xf>
    <xf numFmtId="0" fontId="11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vertical="center"/>
    </xf>
    <xf numFmtId="169" fontId="11" fillId="0" borderId="8" xfId="0" applyNumberFormat="1" applyFont="1" applyBorder="1" applyAlignment="1">
      <alignment horizontal="center" vertical="center"/>
    </xf>
    <xf numFmtId="2" fontId="11" fillId="0" borderId="9" xfId="0" applyNumberFormat="1" applyFont="1" applyBorder="1" applyAlignment="1">
      <alignment horizontal="center" vertical="center"/>
    </xf>
    <xf numFmtId="0" fontId="13" fillId="0" borderId="0" xfId="3" applyNumberFormat="1" applyFont="1" applyFill="1" applyBorder="1" applyAlignment="1">
      <alignment vertical="center"/>
    </xf>
    <xf numFmtId="169" fontId="13" fillId="0" borderId="0" xfId="3" applyNumberFormat="1" applyFont="1" applyFill="1" applyBorder="1" applyAlignment="1">
      <alignment vertical="center"/>
    </xf>
    <xf numFmtId="168" fontId="13" fillId="0" borderId="0" xfId="3" applyNumberFormat="1" applyFont="1" applyFill="1" applyBorder="1" applyAlignment="1">
      <alignment vertical="center"/>
    </xf>
    <xf numFmtId="2" fontId="13" fillId="0" borderId="0" xfId="3" applyNumberFormat="1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0" fillId="0" borderId="4" xfId="0" applyBorder="1"/>
    <xf numFmtId="165" fontId="6" fillId="2" borderId="1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2" xfId="0" applyBorder="1"/>
  </cellXfs>
  <cellStyles count="4">
    <cellStyle name="Comma" xfId="1" builtinId="3"/>
    <cellStyle name="Normal" xfId="0" builtinId="0"/>
    <cellStyle name="Normal 2" xfId="2" xr:uid="{00000000-0005-0000-0000-000002000000}"/>
    <cellStyle name="Normal 3" xfId="3" xr:uid="{2B960941-AD88-4C8C-B2EC-D0AC2FEDD47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D1:H222"/>
  <sheetViews>
    <sheetView tabSelected="1" workbookViewId="0">
      <selection activeCell="K25" sqref="K25"/>
    </sheetView>
  </sheetViews>
  <sheetFormatPr defaultRowHeight="12.75"/>
  <cols>
    <col min="1" max="1" width="5" customWidth="1"/>
    <col min="2" max="2" width="4" customWidth="1"/>
    <col min="3" max="3" width="2" customWidth="1"/>
    <col min="4" max="4" width="20" customWidth="1"/>
    <col min="5" max="5" width="13.85546875" customWidth="1"/>
    <col min="6" max="6" width="52.42578125" customWidth="1"/>
    <col min="7" max="7" width="16.28515625" customWidth="1"/>
    <col min="8" max="8" width="17.42578125" customWidth="1"/>
  </cols>
  <sheetData>
    <row r="1" spans="4:8" ht="13.5" customHeight="1">
      <c r="D1" s="41" t="s">
        <v>0</v>
      </c>
      <c r="E1" s="42"/>
      <c r="F1" s="42"/>
      <c r="G1" s="42"/>
      <c r="H1" s="42"/>
    </row>
    <row r="2" spans="4:8" ht="13.5" customHeight="1">
      <c r="D2" s="1" t="s">
        <v>1</v>
      </c>
      <c r="E2" s="12" t="s">
        <v>2</v>
      </c>
      <c r="F2" s="13"/>
      <c r="G2" s="14"/>
      <c r="H2" s="13"/>
    </row>
    <row r="3" spans="4:8">
      <c r="D3" s="1" t="s">
        <v>3</v>
      </c>
      <c r="E3" s="15" t="str">
        <f>TEXT(D5, "mmmm yyyy")</f>
        <v>July 2026</v>
      </c>
      <c r="F3" s="13"/>
      <c r="G3" s="14"/>
      <c r="H3" s="13"/>
    </row>
    <row r="4" spans="4:8" ht="18" customHeight="1">
      <c r="D4" s="39"/>
      <c r="E4" s="40"/>
      <c r="F4" s="40"/>
      <c r="G4" s="40"/>
      <c r="H4" s="40"/>
    </row>
    <row r="5" spans="4:8" ht="15" customHeight="1">
      <c r="D5" s="10">
        <v>46204</v>
      </c>
      <c r="E5" s="6"/>
      <c r="F5" s="2"/>
      <c r="G5" s="3" t="str">
        <f>IF($D5="","",IF(OR(WEEKDAY($D5)=1,WEEKDAY($D5)=7),"","Work Total"))</f>
        <v>Work Total</v>
      </c>
      <c r="H5" s="16">
        <f>IF($D5="","",IF(OR(WEEKDAY($D5)=1,WEEKDAY($D5)=7),"Weekend",SUMIFS('Clockify Helper'!$F$2:$F$1000,'Clockify Helper'!$A$2:$A$1000,$D5,'Clockify Helper'!$D$2:$D$1000,"Work")))</f>
        <v>1.7361111111111112E-2</v>
      </c>
    </row>
    <row r="6" spans="4:8" ht="25.5" customHeight="1">
      <c r="D6" s="17">
        <f>IF($D5="","",IFERROR(INDEX('Clockify Helper'!$B$2:$B$1000,MATCH(TEXT($D5,"yyyymmdd")&amp;"|1",'Clockify Helper'!$H$2:$H$1000,0)),""))</f>
        <v>2.901388888888889</v>
      </c>
      <c r="E6" s="17">
        <f>IF($D5="","",IFERROR(INDEX('Clockify Helper'!$C$2:$C$1000,MATCH(TEXT($D5,"yyyymmdd")&amp;"|1",'Clockify Helper'!$H$2:$H$1000,0)),""))</f>
        <v>2.9187500000000002</v>
      </c>
      <c r="F6" s="9" t="str">
        <f>IF($D5="","",IFERROR(INDEX('Clockify Helper'!$E$2:$E$1000,MATCH(TEXT($D5,"yyyymmdd")&amp;"|1",'Clockify Helper'!$H$2:$H$1000,0)),""))</f>
        <v>Newsletter Independance Day</v>
      </c>
      <c r="G6" s="18" t="str">
        <f>IF($D5="","",IFERROR(INDEX('Clockify Helper'!$D$2:$D$1000,MATCH(TEXT($D5,"yyyymmdd")&amp;"|1",'Clockify Helper'!$H$2:$H$1000,0)),""))</f>
        <v>Work</v>
      </c>
      <c r="H6" s="19">
        <f>IF($D5="","",IFERROR(INDEX('Clockify Helper'!$F$2:$F$1000,MATCH(TEXT($D5,"yyyymmdd")&amp;"|1",'Clockify Helper'!$H$2:$H$1000,0)),""))</f>
        <v>1.7361111111111112E-2</v>
      </c>
    </row>
    <row r="7" spans="4:8" ht="25.5" hidden="1" customHeight="1">
      <c r="D7" s="17"/>
      <c r="E7" s="17"/>
      <c r="F7" s="9"/>
      <c r="G7" s="18"/>
      <c r="H7" s="19"/>
    </row>
    <row r="8" spans="4:8" ht="25.5" hidden="1" customHeight="1">
      <c r="D8" s="17"/>
      <c r="E8" s="17"/>
      <c r="F8" s="9"/>
      <c r="G8" s="18"/>
      <c r="H8" s="19"/>
    </row>
    <row r="9" spans="4:8" ht="25.5" hidden="1" customHeight="1">
      <c r="D9" s="17"/>
      <c r="E9" s="17"/>
      <c r="F9" s="9"/>
      <c r="G9" s="18"/>
      <c r="H9" s="19"/>
    </row>
    <row r="10" spans="4:8" ht="25.5" hidden="1" customHeight="1">
      <c r="D10" s="17"/>
      <c r="E10" s="17"/>
      <c r="F10" s="9"/>
      <c r="G10" s="18"/>
      <c r="H10" s="19"/>
    </row>
    <row r="11" spans="4:8" ht="14.25" customHeight="1">
      <c r="D11" s="7"/>
      <c r="E11" s="7"/>
      <c r="F11" s="8"/>
      <c r="G11" s="4"/>
      <c r="H11" s="5"/>
    </row>
    <row r="12" spans="4:8" ht="15" customHeight="1">
      <c r="D12" s="10">
        <f>IF(D5="","",IF(MONTH(D5+1)=MONTH($D$5),D5+1,""))</f>
        <v>46205</v>
      </c>
      <c r="E12" s="6"/>
      <c r="F12" s="2"/>
      <c r="G12" s="3" t="str">
        <f>IF($D12="","",IF(OR(WEEKDAY($D12)=1,WEEKDAY($D12)=7),"","Work Total"))</f>
        <v>Work Total</v>
      </c>
      <c r="H12" s="16">
        <f>IF($D12="","",IF(OR(WEEKDAY($D12)=1,WEEKDAY($D12)=7),"Weekend",SUMIFS('Clockify Helper'!$F$2:$F$1000,'Clockify Helper'!$A$2:$A$1000,$D12,'Clockify Helper'!$D$2:$D$1000,"Work")))</f>
        <v>0</v>
      </c>
    </row>
    <row r="13" spans="4:8" ht="25.5" hidden="1" customHeight="1">
      <c r="D13" s="17"/>
      <c r="E13" s="17"/>
      <c r="F13" s="9"/>
      <c r="G13" s="18"/>
      <c r="H13" s="19"/>
    </row>
    <row r="14" spans="4:8" ht="25.5" hidden="1" customHeight="1">
      <c r="D14" s="17"/>
      <c r="E14" s="17"/>
      <c r="F14" s="9"/>
      <c r="G14" s="18"/>
      <c r="H14" s="19"/>
    </row>
    <row r="15" spans="4:8" ht="25.5" hidden="1" customHeight="1">
      <c r="D15" s="17"/>
      <c r="E15" s="17"/>
      <c r="F15" s="9"/>
      <c r="G15" s="18"/>
      <c r="H15" s="19"/>
    </row>
    <row r="16" spans="4:8" ht="25.5" hidden="1" customHeight="1">
      <c r="D16" s="17"/>
      <c r="E16" s="17"/>
      <c r="F16" s="9"/>
      <c r="G16" s="18"/>
      <c r="H16" s="19"/>
    </row>
    <row r="17" spans="4:8" ht="25.5" hidden="1" customHeight="1">
      <c r="D17" s="17"/>
      <c r="E17" s="17"/>
      <c r="F17" s="9"/>
      <c r="G17" s="18"/>
      <c r="H17" s="19"/>
    </row>
    <row r="18" spans="4:8" ht="14.25" customHeight="1">
      <c r="D18" s="7"/>
      <c r="E18" s="7"/>
      <c r="F18" s="8"/>
      <c r="G18" s="4"/>
      <c r="H18" s="5"/>
    </row>
    <row r="19" spans="4:8" ht="15" customHeight="1">
      <c r="D19" s="10">
        <f>IF(D12="","",IF(MONTH(D12+1)=MONTH($D$5),D12+1,""))</f>
        <v>46206</v>
      </c>
      <c r="E19" s="6"/>
      <c r="F19" s="2"/>
      <c r="G19" s="3" t="str">
        <f>IF($D19="","",IF(OR(WEEKDAY($D19)=1,WEEKDAY($D19)=7),"","Work Total"))</f>
        <v>Work Total</v>
      </c>
      <c r="H19" s="16">
        <f>IF($D19="","",IF(OR(WEEKDAY($D19)=1,WEEKDAY($D19)=7),"Weekend",SUMIFS('Clockify Helper'!$F$2:$F$1000,'Clockify Helper'!$A$2:$A$1000,$D19,'Clockify Helper'!$D$2:$D$1000,"Work")))</f>
        <v>0</v>
      </c>
    </row>
    <row r="20" spans="4:8" ht="25.5" hidden="1" customHeight="1">
      <c r="D20" s="17"/>
      <c r="E20" s="17"/>
      <c r="F20" s="9"/>
      <c r="G20" s="18"/>
      <c r="H20" s="19"/>
    </row>
    <row r="21" spans="4:8" ht="25.5" hidden="1" customHeight="1">
      <c r="D21" s="17"/>
      <c r="E21" s="17"/>
      <c r="F21" s="9"/>
      <c r="G21" s="18"/>
      <c r="H21" s="19"/>
    </row>
    <row r="22" spans="4:8" ht="25.5" hidden="1" customHeight="1">
      <c r="D22" s="17"/>
      <c r="E22" s="17"/>
      <c r="F22" s="9"/>
      <c r="G22" s="18"/>
      <c r="H22" s="19"/>
    </row>
    <row r="23" spans="4:8" ht="25.5" hidden="1" customHeight="1">
      <c r="D23" s="17"/>
      <c r="E23" s="17"/>
      <c r="F23" s="9"/>
      <c r="G23" s="18"/>
      <c r="H23" s="19"/>
    </row>
    <row r="24" spans="4:8" ht="25.5" hidden="1" customHeight="1">
      <c r="D24" s="17"/>
      <c r="E24" s="17"/>
      <c r="F24" s="9"/>
      <c r="G24" s="18"/>
      <c r="H24" s="19"/>
    </row>
    <row r="25" spans="4:8" ht="14.25" customHeight="1">
      <c r="D25" s="7"/>
      <c r="E25" s="7"/>
      <c r="F25" s="8"/>
      <c r="G25" s="4"/>
      <c r="H25" s="5"/>
    </row>
    <row r="26" spans="4:8" ht="15" customHeight="1">
      <c r="D26" s="10">
        <f>IF(D19="","",IF(MONTH(D19+1)=MONTH($D$5),D19+1,""))</f>
        <v>46207</v>
      </c>
      <c r="E26" s="6"/>
      <c r="F26" s="2"/>
      <c r="G26" s="3" t="str">
        <f>IF($D26="","",IF(OR(WEEKDAY($D26)=1,WEEKDAY($D26)=7),"","Work Total"))</f>
        <v/>
      </c>
      <c r="H26" s="16" t="str">
        <f>IF($D26="","",IF(OR(WEEKDAY($D26)=1,WEEKDAY($D26)=7),"Weekend",SUMIFS('Clockify Helper'!$F$2:$F$1000,'Clockify Helper'!$A$2:$A$1000,$D26,'Clockify Helper'!$D$2:$D$1000,"Work")))</f>
        <v>Weekend</v>
      </c>
    </row>
    <row r="27" spans="4:8" ht="25.5" hidden="1" customHeight="1">
      <c r="D27" s="17"/>
      <c r="E27" s="17"/>
      <c r="F27" s="9"/>
      <c r="G27" s="18"/>
      <c r="H27" s="19"/>
    </row>
    <row r="28" spans="4:8" ht="25.5" hidden="1" customHeight="1">
      <c r="D28" s="17"/>
      <c r="E28" s="17"/>
      <c r="F28" s="9"/>
      <c r="G28" s="18"/>
      <c r="H28" s="19"/>
    </row>
    <row r="29" spans="4:8" ht="25.5" hidden="1" customHeight="1">
      <c r="D29" s="17"/>
      <c r="E29" s="17"/>
      <c r="F29" s="9"/>
      <c r="G29" s="18"/>
      <c r="H29" s="19"/>
    </row>
    <row r="30" spans="4:8" ht="25.5" hidden="1" customHeight="1">
      <c r="D30" s="17"/>
      <c r="E30" s="17"/>
      <c r="F30" s="9"/>
      <c r="G30" s="18"/>
      <c r="H30" s="19"/>
    </row>
    <row r="31" spans="4:8" ht="25.5" hidden="1" customHeight="1">
      <c r="D31" s="17"/>
      <c r="E31" s="17"/>
      <c r="F31" s="9"/>
      <c r="G31" s="18"/>
      <c r="H31" s="19"/>
    </row>
    <row r="32" spans="4:8" ht="14.25" customHeight="1">
      <c r="D32" s="7"/>
      <c r="E32" s="7"/>
      <c r="F32" s="8"/>
      <c r="G32" s="4"/>
      <c r="H32" s="5"/>
    </row>
    <row r="33" spans="4:8" ht="15" customHeight="1">
      <c r="D33" s="10">
        <f>IF(D26="","",IF(MONTH(D26+1)=MONTH($D$5),D26+1,""))</f>
        <v>46208</v>
      </c>
      <c r="E33" s="6"/>
      <c r="F33" s="2"/>
      <c r="G33" s="3" t="str">
        <f>IF($D33="","",IF(OR(WEEKDAY($D33)=1,WEEKDAY($D33)=7),"","Work Total"))</f>
        <v/>
      </c>
      <c r="H33" s="16" t="str">
        <f>IF($D33="","",IF(OR(WEEKDAY($D33)=1,WEEKDAY($D33)=7),"Weekend",SUMIFS('Clockify Helper'!$F$2:$F$1000,'Clockify Helper'!$A$2:$A$1000,$D33,'Clockify Helper'!$D$2:$D$1000,"Work")))</f>
        <v>Weekend</v>
      </c>
    </row>
    <row r="34" spans="4:8" ht="25.5" hidden="1" customHeight="1">
      <c r="D34" s="17"/>
      <c r="E34" s="17"/>
      <c r="F34" s="9"/>
      <c r="G34" s="18"/>
      <c r="H34" s="19"/>
    </row>
    <row r="35" spans="4:8" ht="25.5" hidden="1" customHeight="1">
      <c r="D35" s="17"/>
      <c r="E35" s="17"/>
      <c r="F35" s="9"/>
      <c r="G35" s="18"/>
      <c r="H35" s="19"/>
    </row>
    <row r="36" spans="4:8" ht="25.5" hidden="1" customHeight="1">
      <c r="D36" s="17"/>
      <c r="E36" s="17"/>
      <c r="F36" s="9"/>
      <c r="G36" s="18"/>
      <c r="H36" s="19"/>
    </row>
    <row r="37" spans="4:8" ht="25.5" hidden="1" customHeight="1">
      <c r="D37" s="17"/>
      <c r="E37" s="17"/>
      <c r="F37" s="9"/>
      <c r="G37" s="18"/>
      <c r="H37" s="19"/>
    </row>
    <row r="38" spans="4:8" ht="25.5" hidden="1" customHeight="1">
      <c r="D38" s="17"/>
      <c r="E38" s="17"/>
      <c r="F38" s="9"/>
      <c r="G38" s="18"/>
      <c r="H38" s="19"/>
    </row>
    <row r="39" spans="4:8" ht="14.25" customHeight="1">
      <c r="D39" s="7"/>
      <c r="E39" s="7"/>
      <c r="F39" s="8"/>
      <c r="G39" s="4"/>
      <c r="H39" s="5"/>
    </row>
    <row r="40" spans="4:8" ht="15" customHeight="1">
      <c r="D40" s="10">
        <f>IF(D33="","",IF(MONTH(D33+1)=MONTH($D$5),D33+1,""))</f>
        <v>46209</v>
      </c>
      <c r="E40" s="6"/>
      <c r="F40" s="2"/>
      <c r="G40" s="3" t="str">
        <f>IF($D40="","",IF(OR(WEEKDAY($D40)=1,WEEKDAY($D40)=7),"","Work Total"))</f>
        <v>Work Total</v>
      </c>
      <c r="H40" s="16">
        <f>IF($D40="","",IF(OR(WEEKDAY($D40)=1,WEEKDAY($D40)=7),"Weekend",SUMIFS('Clockify Helper'!$F$2:$F$1000,'Clockify Helper'!$A$2:$A$1000,$D40,'Clockify Helper'!$D$2:$D$1000,"Work")))</f>
        <v>0.14097222222222222</v>
      </c>
    </row>
    <row r="41" spans="4:8" ht="25.5" customHeight="1">
      <c r="D41" s="17">
        <f>IF($D40="","",IFERROR(INDEX('Clockify Helper'!$B$2:$B$1000,MATCH(TEXT($D40,"yyyymmdd")&amp;"|1",'Clockify Helper'!$H$2:$H$1000,0)),""))</f>
        <v>2.6666666666666665</v>
      </c>
      <c r="E41" s="17">
        <f>IF($D40="","",IFERROR(INDEX('Clockify Helper'!$C$2:$C$1000,MATCH(TEXT($D40,"yyyymmdd")&amp;"|1",'Clockify Helper'!$H$2:$H$1000,0)),""))</f>
        <v>2.7972222222222221</v>
      </c>
      <c r="F41" s="9" t="str">
        <f>IF($D40="","",IFERROR(INDEX('Clockify Helper'!$E$2:$E$1000,MATCH(TEXT($D40,"yyyymmdd")&amp;"|1",'Clockify Helper'!$H$2:$H$1000,0)),""))</f>
        <v>Article ATM Security Threats 2026 Publish on Website, Marketplace, LinkedIn Facebook</v>
      </c>
      <c r="G41" s="18" t="str">
        <f>IF($D40="","",IFERROR(INDEX('Clockify Helper'!$D$2:$D$1000,MATCH(TEXT($D40,"yyyymmdd")&amp;"|1",'Clockify Helper'!$H$2:$H$1000,0)),""))</f>
        <v>Work</v>
      </c>
      <c r="H41" s="19">
        <f>IF($D40="","",IFERROR(INDEX('Clockify Helper'!$F$2:$F$1000,MATCH(TEXT($D40,"yyyymmdd")&amp;"|1",'Clockify Helper'!$H$2:$H$1000,0)),""))</f>
        <v>0.13055555555555556</v>
      </c>
    </row>
    <row r="42" spans="4:8" ht="25.5" customHeight="1">
      <c r="D42" s="17">
        <f>IF($D40="","",IFERROR(INDEX('Clockify Helper'!$B$2:$B$1000,MATCH(TEXT($D40,"yyyymmdd")&amp;"|2",'Clockify Helper'!$H$2:$H$1000,0)),""))</f>
        <v>2.8826388888888888</v>
      </c>
      <c r="E42" s="17">
        <f>IF($D40="","",IFERROR(INDEX('Clockify Helper'!$C$2:$C$1000,MATCH(TEXT($D40,"yyyymmdd")&amp;"|2",'Clockify Helper'!$H$2:$H$1000,0)),""))</f>
        <v>2.8930555555555557</v>
      </c>
      <c r="F42" s="9" t="str">
        <f>IF($D40="","",IFERROR(INDEX('Clockify Helper'!$E$2:$E$1000,MATCH(TEXT($D40,"yyyymmdd")&amp;"|2",'Clockify Helper'!$H$2:$H$1000,0)),""))</f>
        <v>Newsletter Upload ATM Security Threats 2026</v>
      </c>
      <c r="G42" s="18" t="str">
        <f>IF($D40="","",IFERROR(INDEX('Clockify Helper'!$D$2:$D$1000,MATCH(TEXT($D40,"yyyymmdd")&amp;"|2",'Clockify Helper'!$H$2:$H$1000,0)),""))</f>
        <v>Work</v>
      </c>
      <c r="H42" s="19">
        <f>IF($D40="","",IFERROR(INDEX('Clockify Helper'!$F$2:$F$1000,MATCH(TEXT($D40,"yyyymmdd")&amp;"|2",'Clockify Helper'!$H$2:$H$1000,0)),""))</f>
        <v>1.0416666666666666E-2</v>
      </c>
    </row>
    <row r="43" spans="4:8" ht="25.5" hidden="1" customHeight="1">
      <c r="D43" s="17"/>
      <c r="E43" s="17"/>
      <c r="F43" s="9"/>
      <c r="G43" s="18"/>
      <c r="H43" s="19"/>
    </row>
    <row r="44" spans="4:8" ht="25.5" hidden="1" customHeight="1">
      <c r="D44" s="17"/>
      <c r="E44" s="17"/>
      <c r="F44" s="9"/>
      <c r="G44" s="18"/>
      <c r="H44" s="19"/>
    </row>
    <row r="45" spans="4:8" ht="25.5" hidden="1" customHeight="1">
      <c r="D45" s="17"/>
      <c r="E45" s="17"/>
      <c r="F45" s="9"/>
      <c r="G45" s="18"/>
      <c r="H45" s="19"/>
    </row>
    <row r="46" spans="4:8" ht="14.25" customHeight="1">
      <c r="D46" s="7"/>
      <c r="E46" s="7"/>
      <c r="F46" s="8"/>
      <c r="G46" s="4"/>
      <c r="H46" s="5"/>
    </row>
    <row r="47" spans="4:8" ht="15" customHeight="1">
      <c r="D47" s="10">
        <f>IF(D40="","",IF(MONTH(D40+1)=MONTH($D$5),D40+1,""))</f>
        <v>46210</v>
      </c>
      <c r="E47" s="6"/>
      <c r="F47" s="2"/>
      <c r="G47" s="3" t="str">
        <f>IF($D47="","",IF(OR(WEEKDAY($D47)=1,WEEKDAY($D47)=7),"","Work Total"))</f>
        <v>Work Total</v>
      </c>
      <c r="H47" s="16">
        <f>IF($D47="","",IF(OR(WEEKDAY($D47)=1,WEEKDAY($D47)=7),"Weekend",SUMIFS('Clockify Helper'!$F$2:$F$1000,'Clockify Helper'!$A$2:$A$1000,$D47,'Clockify Helper'!$D$2:$D$1000,"Work")))</f>
        <v>0</v>
      </c>
    </row>
    <row r="48" spans="4:8" ht="25.5" hidden="1" customHeight="1">
      <c r="D48" s="17"/>
      <c r="E48" s="17"/>
      <c r="F48" s="9"/>
      <c r="G48" s="18"/>
      <c r="H48" s="19"/>
    </row>
    <row r="49" spans="4:8" ht="25.5" hidden="1" customHeight="1">
      <c r="D49" s="17"/>
      <c r="E49" s="17"/>
      <c r="F49" s="9"/>
      <c r="G49" s="18"/>
      <c r="H49" s="19"/>
    </row>
    <row r="50" spans="4:8" ht="25.5" hidden="1" customHeight="1">
      <c r="D50" s="17"/>
      <c r="E50" s="17"/>
      <c r="F50" s="9"/>
      <c r="G50" s="18"/>
      <c r="H50" s="19"/>
    </row>
    <row r="51" spans="4:8" ht="25.5" hidden="1" customHeight="1">
      <c r="D51" s="17"/>
      <c r="E51" s="17"/>
      <c r="F51" s="9"/>
      <c r="G51" s="18"/>
      <c r="H51" s="19"/>
    </row>
    <row r="52" spans="4:8" ht="25.5" hidden="1" customHeight="1">
      <c r="D52" s="17"/>
      <c r="E52" s="17"/>
      <c r="F52" s="9"/>
      <c r="G52" s="18"/>
      <c r="H52" s="19"/>
    </row>
    <row r="53" spans="4:8" ht="14.25" customHeight="1">
      <c r="D53" s="7"/>
      <c r="E53" s="7"/>
      <c r="F53" s="8"/>
      <c r="G53" s="4"/>
      <c r="H53" s="5"/>
    </row>
    <row r="54" spans="4:8" ht="15" customHeight="1">
      <c r="D54" s="10">
        <f>IF(D47="","",IF(MONTH(D47+1)=MONTH($D$5),D47+1,""))</f>
        <v>46211</v>
      </c>
      <c r="E54" s="6"/>
      <c r="F54" s="2"/>
      <c r="G54" s="3" t="str">
        <f>IF($D54="","",IF(OR(WEEKDAY($D54)=1,WEEKDAY($D54)=7),"","Work Total"))</f>
        <v>Work Total</v>
      </c>
      <c r="H54" s="16">
        <f>IF($D54="","",IF(OR(WEEKDAY($D54)=1,WEEKDAY($D54)=7),"Weekend",SUMIFS('Clockify Helper'!$F$2:$F$1000,'Clockify Helper'!$A$2:$A$1000,$D54,'Clockify Helper'!$D$2:$D$1000,"Work")))</f>
        <v>0</v>
      </c>
    </row>
    <row r="55" spans="4:8" ht="25.5" hidden="1" customHeight="1">
      <c r="D55" s="17"/>
      <c r="E55" s="17"/>
      <c r="F55" s="9"/>
      <c r="G55" s="18"/>
      <c r="H55" s="19"/>
    </row>
    <row r="56" spans="4:8" ht="25.5" hidden="1" customHeight="1">
      <c r="D56" s="17"/>
      <c r="E56" s="17"/>
      <c r="F56" s="9"/>
      <c r="G56" s="18"/>
      <c r="H56" s="19"/>
    </row>
    <row r="57" spans="4:8" ht="25.5" hidden="1" customHeight="1">
      <c r="D57" s="17"/>
      <c r="E57" s="17"/>
      <c r="F57" s="9"/>
      <c r="G57" s="18"/>
      <c r="H57" s="19"/>
    </row>
    <row r="58" spans="4:8" ht="25.5" hidden="1" customHeight="1">
      <c r="D58" s="17"/>
      <c r="E58" s="17"/>
      <c r="F58" s="9"/>
      <c r="G58" s="18"/>
      <c r="H58" s="19"/>
    </row>
    <row r="59" spans="4:8" ht="25.5" hidden="1" customHeight="1">
      <c r="D59" s="17"/>
      <c r="E59" s="17"/>
      <c r="F59" s="9"/>
      <c r="G59" s="18"/>
      <c r="H59" s="19"/>
    </row>
    <row r="60" spans="4:8" ht="14.25" customHeight="1">
      <c r="D60" s="7"/>
      <c r="E60" s="7"/>
      <c r="F60" s="8"/>
      <c r="G60" s="4"/>
      <c r="H60" s="5"/>
    </row>
    <row r="61" spans="4:8" ht="15" customHeight="1">
      <c r="D61" s="10">
        <f>IF(D54="","",IF(MONTH(D54+1)=MONTH($D$5),D54+1,""))</f>
        <v>46212</v>
      </c>
      <c r="E61" s="6"/>
      <c r="F61" s="2"/>
      <c r="G61" s="3" t="str">
        <f>IF($D61="","",IF(OR(WEEKDAY($D61)=1,WEEKDAY($D61)=7),"","Work Total"))</f>
        <v>Work Total</v>
      </c>
      <c r="H61" s="16">
        <f>IF($D61="","",IF(OR(WEEKDAY($D61)=1,WEEKDAY($D61)=7),"Weekend",SUMIFS('Clockify Helper'!$F$2:$F$1000,'Clockify Helper'!$A$2:$A$1000,$D61,'Clockify Helper'!$D$2:$D$1000,"Work")))</f>
        <v>0</v>
      </c>
    </row>
    <row r="62" spans="4:8" ht="25.5" hidden="1" customHeight="1">
      <c r="D62" s="17"/>
      <c r="E62" s="17"/>
      <c r="F62" s="9"/>
      <c r="G62" s="18"/>
      <c r="H62" s="19"/>
    </row>
    <row r="63" spans="4:8" ht="25.5" hidden="1" customHeight="1">
      <c r="D63" s="17"/>
      <c r="E63" s="17"/>
      <c r="F63" s="9"/>
      <c r="G63" s="18"/>
      <c r="H63" s="19"/>
    </row>
    <row r="64" spans="4:8" ht="25.5" hidden="1" customHeight="1">
      <c r="D64" s="17"/>
      <c r="E64" s="17"/>
      <c r="F64" s="9"/>
      <c r="G64" s="18"/>
      <c r="H64" s="19"/>
    </row>
    <row r="65" spans="4:8" ht="25.5" hidden="1" customHeight="1">
      <c r="D65" s="17"/>
      <c r="E65" s="17"/>
      <c r="F65" s="9"/>
      <c r="G65" s="18"/>
      <c r="H65" s="19"/>
    </row>
    <row r="66" spans="4:8" ht="25.5" hidden="1" customHeight="1">
      <c r="D66" s="17"/>
      <c r="E66" s="17"/>
      <c r="F66" s="9"/>
      <c r="G66" s="18"/>
      <c r="H66" s="19"/>
    </row>
    <row r="67" spans="4:8" ht="14.25" customHeight="1">
      <c r="D67" s="7"/>
      <c r="E67" s="7"/>
      <c r="F67" s="8"/>
      <c r="G67" s="4"/>
      <c r="H67" s="5"/>
    </row>
    <row r="68" spans="4:8" ht="15" customHeight="1">
      <c r="D68" s="10">
        <f>IF(D61="","",IF(MONTH(D61+1)=MONTH($D$5),D61+1,""))</f>
        <v>46213</v>
      </c>
      <c r="E68" s="6"/>
      <c r="F68" s="2"/>
      <c r="G68" s="3" t="str">
        <f>IF($D68="","",IF(OR(WEEKDAY($D68)=1,WEEKDAY($D68)=7),"","Work Total"))</f>
        <v>Work Total</v>
      </c>
      <c r="H68" s="16">
        <f>IF($D68="","",IF(OR(WEEKDAY($D68)=1,WEEKDAY($D68)=7),"Weekend",SUMIFS('Clockify Helper'!$F$2:$F$1000,'Clockify Helper'!$A$2:$A$1000,$D68,'Clockify Helper'!$D$2:$D$1000,"Work")))</f>
        <v>5.6250000000000001E-2</v>
      </c>
    </row>
    <row r="69" spans="4:8" ht="25.5" customHeight="1">
      <c r="D69" s="17">
        <f>IF($D68="","",IFERROR(INDEX('Clockify Helper'!$B$2:$B$1000,MATCH(TEXT($D68,"yyyymmdd")&amp;"|1",'Clockify Helper'!$H$2:$H$1000,0)),""))</f>
        <v>2.6673611111111111</v>
      </c>
      <c r="E69" s="17">
        <f>IF($D68="","",IFERROR(INDEX('Clockify Helper'!$C$2:$C$1000,MATCH(TEXT($D68,"yyyymmdd")&amp;"|1",'Clockify Helper'!$H$2:$H$1000,0)),""))</f>
        <v>2.723611111111111</v>
      </c>
      <c r="F69" s="9" t="str">
        <f>IF($D68="","",IFERROR(INDEX('Clockify Helper'!$E$2:$E$1000,MATCH(TEXT($D68,"yyyymmdd")&amp;"|1",'Clockify Helper'!$H$2:$H$1000,0)),""))</f>
        <v>4G Wireless Extention</v>
      </c>
      <c r="G69" s="18" t="str">
        <f>IF($D68="","",IFERROR(INDEX('Clockify Helper'!$D$2:$D$1000,MATCH(TEXT($D68,"yyyymmdd")&amp;"|1",'Clockify Helper'!$H$2:$H$1000,0)),""))</f>
        <v>Work</v>
      </c>
      <c r="H69" s="19">
        <f>IF($D68="","",IFERROR(INDEX('Clockify Helper'!$F$2:$F$1000,MATCH(TEXT($D68,"yyyymmdd")&amp;"|1",'Clockify Helper'!$H$2:$H$1000,0)),""))</f>
        <v>5.6250000000000001E-2</v>
      </c>
    </row>
    <row r="70" spans="4:8" ht="25.5" hidden="1" customHeight="1">
      <c r="D70" s="17"/>
      <c r="E70" s="17"/>
      <c r="F70" s="9"/>
      <c r="G70" s="18"/>
      <c r="H70" s="19"/>
    </row>
    <row r="71" spans="4:8" ht="25.5" hidden="1" customHeight="1">
      <c r="D71" s="17"/>
      <c r="E71" s="17"/>
      <c r="F71" s="9"/>
      <c r="G71" s="18"/>
      <c r="H71" s="19"/>
    </row>
    <row r="72" spans="4:8" ht="25.5" hidden="1" customHeight="1">
      <c r="D72" s="17"/>
      <c r="E72" s="17"/>
      <c r="F72" s="9"/>
      <c r="G72" s="18"/>
      <c r="H72" s="19"/>
    </row>
    <row r="73" spans="4:8" ht="25.5" hidden="1" customHeight="1">
      <c r="D73" s="17"/>
      <c r="E73" s="17"/>
      <c r="F73" s="9"/>
      <c r="G73" s="18"/>
      <c r="H73" s="19"/>
    </row>
    <row r="74" spans="4:8" ht="14.25" customHeight="1">
      <c r="D74" s="7"/>
      <c r="E74" s="7"/>
      <c r="F74" s="8"/>
      <c r="G74" s="4"/>
      <c r="H74" s="5"/>
    </row>
    <row r="75" spans="4:8" ht="15" customHeight="1">
      <c r="D75" s="10">
        <f>IF(D68="","",IF(MONTH(D68+1)=MONTH($D$5),D68+1,""))</f>
        <v>46214</v>
      </c>
      <c r="E75" s="6"/>
      <c r="F75" s="2"/>
      <c r="G75" s="3" t="str">
        <f>IF($D75="","",IF(OR(WEEKDAY($D75)=1,WEEKDAY($D75)=7),"","Work Total"))</f>
        <v/>
      </c>
      <c r="H75" s="16" t="str">
        <f>IF($D75="","",IF(OR(WEEKDAY($D75)=1,WEEKDAY($D75)=7),"Weekend",SUMIFS('Clockify Helper'!$F$2:$F$1000,'Clockify Helper'!$A$2:$A$1000,$D75,'Clockify Helper'!$D$2:$D$1000,"Work")))</f>
        <v>Weekend</v>
      </c>
    </row>
    <row r="76" spans="4:8" ht="25.5" hidden="1" customHeight="1">
      <c r="D76" s="17"/>
      <c r="E76" s="17"/>
      <c r="F76" s="9"/>
      <c r="G76" s="18"/>
      <c r="H76" s="19"/>
    </row>
    <row r="77" spans="4:8" ht="25.5" hidden="1" customHeight="1">
      <c r="D77" s="17"/>
      <c r="E77" s="17"/>
      <c r="F77" s="9"/>
      <c r="G77" s="18"/>
      <c r="H77" s="19"/>
    </row>
    <row r="78" spans="4:8" ht="25.5" hidden="1" customHeight="1">
      <c r="D78" s="17"/>
      <c r="E78" s="17"/>
      <c r="F78" s="9"/>
      <c r="G78" s="18"/>
      <c r="H78" s="19"/>
    </row>
    <row r="79" spans="4:8" ht="25.5" hidden="1" customHeight="1">
      <c r="D79" s="17"/>
      <c r="E79" s="17"/>
      <c r="F79" s="9"/>
      <c r="G79" s="18"/>
      <c r="H79" s="19"/>
    </row>
    <row r="80" spans="4:8" ht="25.5" hidden="1" customHeight="1">
      <c r="D80" s="17"/>
      <c r="E80" s="17"/>
      <c r="F80" s="9"/>
      <c r="G80" s="18"/>
      <c r="H80" s="19"/>
    </row>
    <row r="81" spans="4:8" ht="14.25" customHeight="1">
      <c r="D81" s="7"/>
      <c r="E81" s="7"/>
      <c r="F81" s="8"/>
      <c r="G81" s="4"/>
      <c r="H81" s="5"/>
    </row>
    <row r="82" spans="4:8" ht="15" customHeight="1">
      <c r="D82" s="10">
        <f>IF(D75="","",IF(MONTH(D75+1)=MONTH($D$5),D75+1,""))</f>
        <v>46215</v>
      </c>
      <c r="E82" s="6"/>
      <c r="F82" s="2"/>
      <c r="G82" s="3" t="str">
        <f>IF($D82="","",IF(OR(WEEKDAY($D82)=1,WEEKDAY($D82)=7),"","Work Total"))</f>
        <v/>
      </c>
      <c r="H82" s="16" t="str">
        <f>IF($D82="","",IF(OR(WEEKDAY($D82)=1,WEEKDAY($D82)=7),"Weekend",SUMIFS('Clockify Helper'!$F$2:$F$1000,'Clockify Helper'!$A$2:$A$1000,$D82,'Clockify Helper'!$D$2:$D$1000,"Work")))</f>
        <v>Weekend</v>
      </c>
    </row>
    <row r="83" spans="4:8" ht="25.5" hidden="1" customHeight="1">
      <c r="D83" s="17"/>
      <c r="E83" s="17"/>
      <c r="F83" s="9"/>
      <c r="G83" s="18"/>
      <c r="H83" s="19"/>
    </row>
    <row r="84" spans="4:8" ht="25.5" hidden="1" customHeight="1">
      <c r="D84" s="17"/>
      <c r="E84" s="17"/>
      <c r="F84" s="9"/>
      <c r="G84" s="18"/>
      <c r="H84" s="19"/>
    </row>
    <row r="85" spans="4:8" ht="25.5" hidden="1" customHeight="1">
      <c r="D85" s="17"/>
      <c r="E85" s="17"/>
      <c r="F85" s="9"/>
      <c r="G85" s="18"/>
      <c r="H85" s="19"/>
    </row>
    <row r="86" spans="4:8" ht="25.5" hidden="1" customHeight="1">
      <c r="D86" s="17"/>
      <c r="E86" s="17"/>
      <c r="F86" s="9"/>
      <c r="G86" s="18"/>
      <c r="H86" s="19"/>
    </row>
    <row r="87" spans="4:8" ht="25.5" hidden="1" customHeight="1">
      <c r="D87" s="17"/>
      <c r="E87" s="17"/>
      <c r="F87" s="9"/>
      <c r="G87" s="18"/>
      <c r="H87" s="19"/>
    </row>
    <row r="88" spans="4:8" ht="14.25" customHeight="1">
      <c r="D88" s="7"/>
      <c r="E88" s="7"/>
      <c r="F88" s="8"/>
      <c r="G88" s="4"/>
      <c r="H88" s="5"/>
    </row>
    <row r="89" spans="4:8" ht="15" customHeight="1">
      <c r="D89" s="10">
        <f>IF(D82="","",IF(MONTH(D82+1)=MONTH($D$5),D82+1,""))</f>
        <v>46216</v>
      </c>
      <c r="E89" s="6"/>
      <c r="F89" s="2"/>
      <c r="G89" s="3" t="str">
        <f>IF($D89="","",IF(OR(WEEKDAY($D89)=1,WEEKDAY($D89)=7),"","Work Total"))</f>
        <v>Work Total</v>
      </c>
      <c r="H89" s="16">
        <f>IF($D89="","",IF(OR(WEEKDAY($D89)=1,WEEKDAY($D89)=7),"Weekend",SUMIFS('Clockify Helper'!$F$2:$F$1000,'Clockify Helper'!$A$2:$A$1000,$D89,'Clockify Helper'!$D$2:$D$1000,"Work")))</f>
        <v>0</v>
      </c>
    </row>
    <row r="90" spans="4:8" ht="25.5" hidden="1" customHeight="1">
      <c r="D90" s="17"/>
      <c r="E90" s="17"/>
      <c r="F90" s="9"/>
      <c r="G90" s="18"/>
      <c r="H90" s="19"/>
    </row>
    <row r="91" spans="4:8" ht="25.5" hidden="1" customHeight="1">
      <c r="D91" s="17"/>
      <c r="E91" s="17"/>
      <c r="F91" s="9"/>
      <c r="G91" s="18"/>
      <c r="H91" s="19"/>
    </row>
    <row r="92" spans="4:8" ht="25.5" hidden="1" customHeight="1">
      <c r="D92" s="17"/>
      <c r="E92" s="17"/>
      <c r="F92" s="9"/>
      <c r="G92" s="18"/>
      <c r="H92" s="19"/>
    </row>
    <row r="93" spans="4:8" ht="25.5" hidden="1" customHeight="1">
      <c r="D93" s="17"/>
      <c r="E93" s="17"/>
      <c r="F93" s="9"/>
      <c r="G93" s="18"/>
      <c r="H93" s="19"/>
    </row>
    <row r="94" spans="4:8" ht="25.5" hidden="1" customHeight="1">
      <c r="D94" s="17"/>
      <c r="E94" s="17"/>
      <c r="F94" s="9"/>
      <c r="G94" s="18"/>
      <c r="H94" s="19"/>
    </row>
    <row r="95" spans="4:8" ht="14.25" customHeight="1">
      <c r="D95" s="7"/>
      <c r="E95" s="7"/>
      <c r="F95" s="8"/>
      <c r="G95" s="4"/>
      <c r="H95" s="5"/>
    </row>
    <row r="96" spans="4:8" ht="15" customHeight="1">
      <c r="D96" s="10">
        <f>IF(D89="","",IF(MONTH(D89+1)=MONTH($D$5),D89+1,""))</f>
        <v>46217</v>
      </c>
      <c r="E96" s="6"/>
      <c r="F96" s="2"/>
      <c r="G96" s="3" t="str">
        <f>IF($D96="","",IF(OR(WEEKDAY($D96)=1,WEEKDAY($D96)=7),"","Work Total"))</f>
        <v>Work Total</v>
      </c>
      <c r="H96" s="16">
        <f>IF($D96="","",IF(OR(WEEKDAY($D96)=1,WEEKDAY($D96)=7),"Weekend",SUMIFS('Clockify Helper'!$F$2:$F$1000,'Clockify Helper'!$A$2:$A$1000,$D96,'Clockify Helper'!$D$2:$D$1000,"Work")))</f>
        <v>0</v>
      </c>
    </row>
    <row r="97" spans="4:8" ht="25.5" hidden="1" customHeight="1">
      <c r="D97" s="17"/>
      <c r="E97" s="17"/>
      <c r="F97" s="9"/>
      <c r="G97" s="18"/>
      <c r="H97" s="19"/>
    </row>
    <row r="98" spans="4:8" ht="25.5" hidden="1" customHeight="1">
      <c r="D98" s="17"/>
      <c r="E98" s="17"/>
      <c r="F98" s="9"/>
      <c r="G98" s="18"/>
      <c r="H98" s="19"/>
    </row>
    <row r="99" spans="4:8" ht="25.5" hidden="1" customHeight="1">
      <c r="D99" s="17"/>
      <c r="E99" s="17"/>
      <c r="F99" s="9"/>
      <c r="G99" s="18"/>
      <c r="H99" s="19"/>
    </row>
    <row r="100" spans="4:8" ht="25.5" hidden="1" customHeight="1">
      <c r="D100" s="17"/>
      <c r="E100" s="17"/>
      <c r="F100" s="9"/>
      <c r="G100" s="18"/>
      <c r="H100" s="19"/>
    </row>
    <row r="101" spans="4:8" ht="25.5" hidden="1" customHeight="1">
      <c r="D101" s="17"/>
      <c r="E101" s="17"/>
      <c r="F101" s="9"/>
      <c r="G101" s="18"/>
      <c r="H101" s="19"/>
    </row>
    <row r="102" spans="4:8" ht="14.25" customHeight="1">
      <c r="D102" s="7"/>
      <c r="E102" s="7"/>
      <c r="F102" s="8"/>
      <c r="G102" s="4"/>
      <c r="H102" s="5"/>
    </row>
    <row r="103" spans="4:8" ht="15" customHeight="1">
      <c r="D103" s="10">
        <f>IF(D96="","",IF(MONTH(D96+1)=MONTH($D$5),D96+1,""))</f>
        <v>46218</v>
      </c>
      <c r="E103" s="6"/>
      <c r="F103" s="2"/>
      <c r="G103" s="3" t="str">
        <f>IF($D103="","",IF(OR(WEEKDAY($D103)=1,WEEKDAY($D103)=7),"","Work Total"))</f>
        <v>Work Total</v>
      </c>
      <c r="H103" s="16">
        <f>IF($D103="","",IF(OR(WEEKDAY($D103)=1,WEEKDAY($D103)=7),"Weekend",SUMIFS('Clockify Helper'!$F$2:$F$1000,'Clockify Helper'!$A$2:$A$1000,$D103,'Clockify Helper'!$D$2:$D$1000,"Work")))</f>
        <v>0</v>
      </c>
    </row>
    <row r="104" spans="4:8" ht="25.5" hidden="1" customHeight="1">
      <c r="D104" s="17"/>
      <c r="E104" s="17"/>
      <c r="F104" s="9"/>
      <c r="G104" s="18"/>
      <c r="H104" s="19"/>
    </row>
    <row r="105" spans="4:8" ht="25.5" hidden="1" customHeight="1">
      <c r="D105" s="17"/>
      <c r="E105" s="17"/>
      <c r="F105" s="9"/>
      <c r="G105" s="18"/>
      <c r="H105" s="19"/>
    </row>
    <row r="106" spans="4:8" ht="25.5" hidden="1" customHeight="1">
      <c r="D106" s="17"/>
      <c r="E106" s="17"/>
      <c r="F106" s="9"/>
      <c r="G106" s="18"/>
      <c r="H106" s="19"/>
    </row>
    <row r="107" spans="4:8" ht="25.5" hidden="1" customHeight="1">
      <c r="D107" s="17"/>
      <c r="E107" s="17"/>
      <c r="F107" s="9"/>
      <c r="G107" s="18"/>
      <c r="H107" s="19"/>
    </row>
    <row r="108" spans="4:8" ht="25.5" hidden="1" customHeight="1">
      <c r="D108" s="17"/>
      <c r="E108" s="17"/>
      <c r="F108" s="9"/>
      <c r="G108" s="18"/>
      <c r="H108" s="19"/>
    </row>
    <row r="109" spans="4:8" ht="14.25" customHeight="1">
      <c r="D109" s="7"/>
      <c r="E109" s="7"/>
      <c r="F109" s="8"/>
      <c r="G109" s="4"/>
      <c r="H109" s="5"/>
    </row>
    <row r="110" spans="4:8" ht="15" customHeight="1">
      <c r="D110" s="10">
        <f>IF(D103="","",IF(MONTH(D103+1)=MONTH($D$5),D103+1,""))</f>
        <v>46219</v>
      </c>
      <c r="E110" s="6"/>
      <c r="F110" s="2"/>
      <c r="G110" s="3" t="str">
        <f>IF($D110="","",IF(OR(WEEKDAY($D110)=1,WEEKDAY($D110)=7),"","Work Total"))</f>
        <v>Work Total</v>
      </c>
      <c r="H110" s="16">
        <f>IF($D110="","",IF(OR(WEEKDAY($D110)=1,WEEKDAY($D110)=7),"Weekend",SUMIFS('Clockify Helper'!$F$2:$F$1000,'Clockify Helper'!$A$2:$A$1000,$D110,'Clockify Helper'!$D$2:$D$1000,"Work")))</f>
        <v>0</v>
      </c>
    </row>
    <row r="111" spans="4:8" ht="25.5" hidden="1" customHeight="1">
      <c r="D111" s="17"/>
      <c r="E111" s="17"/>
      <c r="F111" s="9"/>
      <c r="G111" s="18"/>
      <c r="H111" s="19"/>
    </row>
    <row r="112" spans="4:8" ht="25.5" hidden="1" customHeight="1">
      <c r="D112" s="17"/>
      <c r="E112" s="17"/>
      <c r="F112" s="9"/>
      <c r="G112" s="18"/>
      <c r="H112" s="19"/>
    </row>
    <row r="113" spans="4:8" ht="25.5" hidden="1" customHeight="1">
      <c r="D113" s="17"/>
      <c r="E113" s="17"/>
      <c r="F113" s="9"/>
      <c r="G113" s="18"/>
      <c r="H113" s="19"/>
    </row>
    <row r="114" spans="4:8" ht="25.5" hidden="1" customHeight="1">
      <c r="D114" s="17"/>
      <c r="E114" s="17"/>
      <c r="F114" s="9"/>
      <c r="G114" s="18"/>
      <c r="H114" s="19"/>
    </row>
    <row r="115" spans="4:8" ht="25.5" hidden="1" customHeight="1">
      <c r="D115" s="17"/>
      <c r="E115" s="17"/>
      <c r="F115" s="9"/>
      <c r="G115" s="18"/>
      <c r="H115" s="19"/>
    </row>
    <row r="116" spans="4:8" ht="14.25" customHeight="1">
      <c r="D116" s="7"/>
      <c r="E116" s="7"/>
      <c r="F116" s="8"/>
      <c r="G116" s="4"/>
      <c r="H116" s="5"/>
    </row>
    <row r="117" spans="4:8" ht="15" customHeight="1">
      <c r="D117" s="10">
        <f>IF(D110="","",IF(MONTH(D110+1)=MONTH($D$5),D110+1,""))</f>
        <v>46220</v>
      </c>
      <c r="E117" s="6"/>
      <c r="F117" s="2"/>
      <c r="G117" s="3" t="str">
        <f>IF($D117="","",IF(OR(WEEKDAY($D117)=1,WEEKDAY($D117)=7),"","Work Total"))</f>
        <v>Work Total</v>
      </c>
      <c r="H117" s="16">
        <f>IF($D117="","",IF(OR(WEEKDAY($D117)=1,WEEKDAY($D117)=7),"Weekend",SUMIFS('Clockify Helper'!$F$2:$F$1000,'Clockify Helper'!$A$2:$A$1000,$D117,'Clockify Helper'!$D$2:$D$1000,"Work")))</f>
        <v>0</v>
      </c>
    </row>
    <row r="118" spans="4:8" ht="25.5" hidden="1" customHeight="1">
      <c r="D118" s="17"/>
      <c r="E118" s="17"/>
      <c r="F118" s="9"/>
      <c r="G118" s="18"/>
      <c r="H118" s="19"/>
    </row>
    <row r="119" spans="4:8" ht="25.5" hidden="1" customHeight="1">
      <c r="D119" s="17"/>
      <c r="E119" s="17"/>
      <c r="F119" s="9"/>
      <c r="G119" s="18"/>
      <c r="H119" s="19"/>
    </row>
    <row r="120" spans="4:8" ht="25.5" hidden="1" customHeight="1">
      <c r="D120" s="17"/>
      <c r="E120" s="17"/>
      <c r="F120" s="9"/>
      <c r="G120" s="18"/>
      <c r="H120" s="19"/>
    </row>
    <row r="121" spans="4:8" ht="25.5" hidden="1" customHeight="1">
      <c r="D121" s="17"/>
      <c r="E121" s="17"/>
      <c r="F121" s="9"/>
      <c r="G121" s="18"/>
      <c r="H121" s="19"/>
    </row>
    <row r="122" spans="4:8" ht="25.5" hidden="1" customHeight="1">
      <c r="D122" s="17"/>
      <c r="E122" s="17"/>
      <c r="F122" s="9"/>
      <c r="G122" s="18"/>
      <c r="H122" s="19"/>
    </row>
    <row r="123" spans="4:8" ht="14.25" customHeight="1">
      <c r="D123" s="7"/>
      <c r="E123" s="7"/>
      <c r="F123" s="8"/>
      <c r="G123" s="4"/>
      <c r="H123" s="5"/>
    </row>
    <row r="124" spans="4:8" ht="15" customHeight="1">
      <c r="D124" s="10">
        <f>IF(D117="","",IF(MONTH(D117+1)=MONTH($D$5),D117+1,""))</f>
        <v>46221</v>
      </c>
      <c r="E124" s="6"/>
      <c r="F124" s="2"/>
      <c r="G124" s="3" t="str">
        <f>IF($D124="","",IF(OR(WEEKDAY($D124)=1,WEEKDAY($D124)=7),"","Work Total"))</f>
        <v/>
      </c>
      <c r="H124" s="16" t="str">
        <f>IF($D124="","",IF(OR(WEEKDAY($D124)=1,WEEKDAY($D124)=7),"Weekend",SUMIFS('Clockify Helper'!$F$2:$F$1000,'Clockify Helper'!$A$2:$A$1000,$D124,'Clockify Helper'!$D$2:$D$1000,"Work")))</f>
        <v>Weekend</v>
      </c>
    </row>
    <row r="125" spans="4:8" ht="25.5" hidden="1" customHeight="1">
      <c r="D125" s="17"/>
      <c r="E125" s="17"/>
      <c r="F125" s="9"/>
      <c r="G125" s="18"/>
      <c r="H125" s="19"/>
    </row>
    <row r="126" spans="4:8" ht="25.5" hidden="1" customHeight="1">
      <c r="D126" s="17"/>
      <c r="E126" s="17"/>
      <c r="F126" s="9"/>
      <c r="G126" s="18"/>
      <c r="H126" s="19"/>
    </row>
    <row r="127" spans="4:8" ht="25.5" hidden="1" customHeight="1">
      <c r="D127" s="17"/>
      <c r="E127" s="17"/>
      <c r="F127" s="9"/>
      <c r="G127" s="18"/>
      <c r="H127" s="19"/>
    </row>
    <row r="128" spans="4:8" ht="25.5" hidden="1" customHeight="1">
      <c r="D128" s="17"/>
      <c r="E128" s="17"/>
      <c r="F128" s="9"/>
      <c r="G128" s="18"/>
      <c r="H128" s="19"/>
    </row>
    <row r="129" spans="4:8" ht="25.5" hidden="1" customHeight="1">
      <c r="D129" s="17"/>
      <c r="E129" s="17"/>
      <c r="F129" s="9"/>
      <c r="G129" s="18"/>
      <c r="H129" s="19"/>
    </row>
    <row r="130" spans="4:8" ht="14.25" customHeight="1">
      <c r="D130" s="7"/>
      <c r="E130" s="7"/>
      <c r="F130" s="8"/>
      <c r="G130" s="4"/>
      <c r="H130" s="5"/>
    </row>
    <row r="131" spans="4:8" ht="15" customHeight="1">
      <c r="D131" s="10">
        <f>IF(D124="","",IF(MONTH(D124+1)=MONTH($D$5),D124+1,""))</f>
        <v>46222</v>
      </c>
      <c r="E131" s="6"/>
      <c r="F131" s="2"/>
      <c r="G131" s="3" t="str">
        <f>IF($D131="","",IF(OR(WEEKDAY($D131)=1,WEEKDAY($D131)=7),"","Work Total"))</f>
        <v/>
      </c>
      <c r="H131" s="16" t="str">
        <f>IF($D131="","",IF(OR(WEEKDAY($D131)=1,WEEKDAY($D131)=7),"Weekend",SUMIFS('Clockify Helper'!$F$2:$F$1000,'Clockify Helper'!$A$2:$A$1000,$D131,'Clockify Helper'!$D$2:$D$1000,"Work")))</f>
        <v>Weekend</v>
      </c>
    </row>
    <row r="132" spans="4:8" ht="25.5" hidden="1" customHeight="1">
      <c r="D132" s="17"/>
      <c r="E132" s="17"/>
      <c r="F132" s="9"/>
      <c r="G132" s="18"/>
      <c r="H132" s="19"/>
    </row>
    <row r="133" spans="4:8" ht="25.5" hidden="1" customHeight="1">
      <c r="D133" s="17"/>
      <c r="E133" s="17"/>
      <c r="F133" s="9"/>
      <c r="G133" s="18"/>
      <c r="H133" s="19"/>
    </row>
    <row r="134" spans="4:8" ht="25.5" hidden="1" customHeight="1">
      <c r="D134" s="17"/>
      <c r="E134" s="17"/>
      <c r="F134" s="9"/>
      <c r="G134" s="18"/>
      <c r="H134" s="19"/>
    </row>
    <row r="135" spans="4:8" ht="25.5" hidden="1" customHeight="1">
      <c r="D135" s="17"/>
      <c r="E135" s="17"/>
      <c r="F135" s="9"/>
      <c r="G135" s="18"/>
      <c r="H135" s="19"/>
    </row>
    <row r="136" spans="4:8" ht="25.5" hidden="1" customHeight="1">
      <c r="D136" s="17"/>
      <c r="E136" s="17"/>
      <c r="F136" s="9"/>
      <c r="G136" s="18"/>
      <c r="H136" s="19"/>
    </row>
    <row r="137" spans="4:8" ht="14.25" customHeight="1">
      <c r="D137" s="7"/>
      <c r="E137" s="7"/>
      <c r="F137" s="8"/>
      <c r="G137" s="4"/>
      <c r="H137" s="5"/>
    </row>
    <row r="138" spans="4:8" ht="15" customHeight="1">
      <c r="D138" s="10">
        <f>IF(D131="","",IF(MONTH(D131+1)=MONTH($D$5),D131+1,""))</f>
        <v>46223</v>
      </c>
      <c r="E138" s="6"/>
      <c r="F138" s="2"/>
      <c r="G138" s="3" t="str">
        <f>IF($D138="","",IF(OR(WEEKDAY($D138)=1,WEEKDAY($D138)=7),"","Work Total"))</f>
        <v>Work Total</v>
      </c>
      <c r="H138" s="16">
        <f>IF($D138="","",IF(OR(WEEKDAY($D138)=1,WEEKDAY($D138)=7),"Weekend",SUMIFS('Clockify Helper'!$F$2:$F$1000,'Clockify Helper'!$A$2:$A$1000,$D138,'Clockify Helper'!$D$2:$D$1000,"Work")))</f>
        <v>0</v>
      </c>
    </row>
    <row r="139" spans="4:8" ht="25.5" hidden="1" customHeight="1">
      <c r="D139" s="17"/>
      <c r="E139" s="17"/>
      <c r="F139" s="9"/>
      <c r="G139" s="18"/>
      <c r="H139" s="19"/>
    </row>
    <row r="140" spans="4:8" ht="25.5" hidden="1" customHeight="1">
      <c r="D140" s="17"/>
      <c r="E140" s="17"/>
      <c r="F140" s="9"/>
      <c r="G140" s="18"/>
      <c r="H140" s="19"/>
    </row>
    <row r="141" spans="4:8" ht="25.5" hidden="1" customHeight="1">
      <c r="D141" s="17"/>
      <c r="E141" s="17"/>
      <c r="F141" s="9"/>
      <c r="G141" s="18"/>
      <c r="H141" s="19"/>
    </row>
    <row r="142" spans="4:8" ht="25.5" hidden="1" customHeight="1">
      <c r="D142" s="17"/>
      <c r="E142" s="17"/>
      <c r="F142" s="9"/>
      <c r="G142" s="18"/>
      <c r="H142" s="19"/>
    </row>
    <row r="143" spans="4:8" ht="25.5" hidden="1" customHeight="1">
      <c r="D143" s="17"/>
      <c r="E143" s="17"/>
      <c r="F143" s="9"/>
      <c r="G143" s="18"/>
      <c r="H143" s="19"/>
    </row>
    <row r="144" spans="4:8" ht="14.25" customHeight="1">
      <c r="D144" s="7"/>
      <c r="E144" s="7"/>
      <c r="F144" s="8"/>
      <c r="G144" s="4"/>
      <c r="H144" s="5"/>
    </row>
    <row r="145" spans="4:8" ht="15" customHeight="1">
      <c r="D145" s="10">
        <f>IF(D138="","",IF(MONTH(D138+1)=MONTH($D$5),D138+1,""))</f>
        <v>46224</v>
      </c>
      <c r="E145" s="6"/>
      <c r="F145" s="2"/>
      <c r="G145" s="3" t="str">
        <f>IF($D145="","",IF(OR(WEEKDAY($D145)=1,WEEKDAY($D145)=7),"","Work Total"))</f>
        <v>Work Total</v>
      </c>
      <c r="H145" s="16">
        <f>IF($D145="","",IF(OR(WEEKDAY($D145)=1,WEEKDAY($D145)=7),"Weekend",SUMIFS('Clockify Helper'!$F$2:$F$1000,'Clockify Helper'!$A$2:$A$1000,$D145,'Clockify Helper'!$D$2:$D$1000,"Work")))</f>
        <v>0</v>
      </c>
    </row>
    <row r="146" spans="4:8" ht="25.5" hidden="1" customHeight="1">
      <c r="D146" s="17"/>
      <c r="E146" s="17"/>
      <c r="F146" s="9"/>
      <c r="G146" s="18"/>
      <c r="H146" s="19"/>
    </row>
    <row r="147" spans="4:8" ht="25.5" hidden="1" customHeight="1">
      <c r="D147" s="17"/>
      <c r="E147" s="17"/>
      <c r="F147" s="9"/>
      <c r="G147" s="18"/>
      <c r="H147" s="19"/>
    </row>
    <row r="148" spans="4:8" ht="25.5" hidden="1" customHeight="1">
      <c r="D148" s="17"/>
      <c r="E148" s="17"/>
      <c r="F148" s="9"/>
      <c r="G148" s="18"/>
      <c r="H148" s="19"/>
    </row>
    <row r="149" spans="4:8" ht="25.5" hidden="1" customHeight="1">
      <c r="D149" s="17"/>
      <c r="E149" s="17"/>
      <c r="F149" s="9"/>
      <c r="G149" s="18"/>
      <c r="H149" s="19"/>
    </row>
    <row r="150" spans="4:8" ht="25.5" hidden="1" customHeight="1">
      <c r="D150" s="17"/>
      <c r="E150" s="17"/>
      <c r="F150" s="9"/>
      <c r="G150" s="18"/>
      <c r="H150" s="19"/>
    </row>
    <row r="151" spans="4:8" ht="14.25" customHeight="1">
      <c r="D151" s="7"/>
      <c r="E151" s="7"/>
      <c r="F151" s="8"/>
      <c r="G151" s="4"/>
      <c r="H151" s="5"/>
    </row>
    <row r="152" spans="4:8" ht="15" customHeight="1">
      <c r="D152" s="10">
        <f>IF(D145="","",IF(MONTH(D145+1)=MONTH($D$5),D145+1,""))</f>
        <v>46225</v>
      </c>
      <c r="E152" s="6"/>
      <c r="F152" s="2"/>
      <c r="G152" s="3" t="str">
        <f>IF($D152="","",IF(OR(WEEKDAY($D152)=1,WEEKDAY($D152)=7),"","Work Total"))</f>
        <v>Work Total</v>
      </c>
      <c r="H152" s="16">
        <f>IF($D152="","",IF(OR(WEEKDAY($D152)=1,WEEKDAY($D152)=7),"Weekend",SUMIFS('Clockify Helper'!$F$2:$F$1000,'Clockify Helper'!$A$2:$A$1000,$D152,'Clockify Helper'!$D$2:$D$1000,"Work")))</f>
        <v>0</v>
      </c>
    </row>
    <row r="153" spans="4:8" ht="25.5" hidden="1" customHeight="1">
      <c r="D153" s="17"/>
      <c r="E153" s="17"/>
      <c r="F153" s="9"/>
      <c r="G153" s="18"/>
      <c r="H153" s="19"/>
    </row>
    <row r="154" spans="4:8" ht="25.5" hidden="1" customHeight="1">
      <c r="D154" s="17"/>
      <c r="E154" s="17"/>
      <c r="F154" s="9"/>
      <c r="G154" s="18"/>
      <c r="H154" s="19"/>
    </row>
    <row r="155" spans="4:8" ht="25.5" hidden="1" customHeight="1">
      <c r="D155" s="17"/>
      <c r="E155" s="17"/>
      <c r="F155" s="9"/>
      <c r="G155" s="18"/>
      <c r="H155" s="19"/>
    </row>
    <row r="156" spans="4:8" ht="25.5" hidden="1" customHeight="1">
      <c r="D156" s="17"/>
      <c r="E156" s="17"/>
      <c r="F156" s="9"/>
      <c r="G156" s="18"/>
      <c r="H156" s="19"/>
    </row>
    <row r="157" spans="4:8" ht="25.5" hidden="1" customHeight="1">
      <c r="D157" s="17"/>
      <c r="E157" s="17"/>
      <c r="F157" s="9"/>
      <c r="G157" s="18"/>
      <c r="H157" s="19"/>
    </row>
    <row r="158" spans="4:8" ht="14.25" customHeight="1">
      <c r="D158" s="7"/>
      <c r="E158" s="7"/>
      <c r="F158" s="8"/>
      <c r="G158" s="4"/>
      <c r="H158" s="5"/>
    </row>
    <row r="159" spans="4:8" ht="15" customHeight="1">
      <c r="D159" s="10">
        <f>IF(D152="","",IF(MONTH(D152+1)=MONTH($D$5),D152+1,""))</f>
        <v>46226</v>
      </c>
      <c r="E159" s="6"/>
      <c r="F159" s="2"/>
      <c r="G159" s="3" t="str">
        <f>IF($D159="","",IF(OR(WEEKDAY($D159)=1,WEEKDAY($D159)=7),"","Work Total"))</f>
        <v>Work Total</v>
      </c>
      <c r="H159" s="16">
        <f>IF($D159="","",IF(OR(WEEKDAY($D159)=1,WEEKDAY($D159)=7),"Weekend",SUMIFS('Clockify Helper'!$F$2:$F$1000,'Clockify Helper'!$A$2:$A$1000,$D159,'Clockify Helper'!$D$2:$D$1000,"Work")))</f>
        <v>0</v>
      </c>
    </row>
    <row r="160" spans="4:8" ht="25.5" hidden="1" customHeight="1">
      <c r="D160" s="17"/>
      <c r="E160" s="17"/>
      <c r="F160" s="9"/>
      <c r="G160" s="18"/>
      <c r="H160" s="19"/>
    </row>
    <row r="161" spans="4:8" ht="25.5" hidden="1" customHeight="1">
      <c r="D161" s="17"/>
      <c r="E161" s="17"/>
      <c r="F161" s="9"/>
      <c r="G161" s="18"/>
      <c r="H161" s="19"/>
    </row>
    <row r="162" spans="4:8" ht="25.5" hidden="1" customHeight="1">
      <c r="D162" s="17"/>
      <c r="E162" s="17"/>
      <c r="F162" s="9"/>
      <c r="G162" s="18"/>
      <c r="H162" s="19"/>
    </row>
    <row r="163" spans="4:8" ht="25.5" hidden="1" customHeight="1">
      <c r="D163" s="17"/>
      <c r="E163" s="17"/>
      <c r="F163" s="9"/>
      <c r="G163" s="18"/>
      <c r="H163" s="19"/>
    </row>
    <row r="164" spans="4:8" ht="25.5" hidden="1" customHeight="1">
      <c r="D164" s="17"/>
      <c r="E164" s="17"/>
      <c r="F164" s="9"/>
      <c r="G164" s="18"/>
      <c r="H164" s="19"/>
    </row>
    <row r="165" spans="4:8" ht="14.25" customHeight="1">
      <c r="D165" s="7"/>
      <c r="E165" s="7"/>
      <c r="F165" s="8"/>
      <c r="G165" s="4"/>
      <c r="H165" s="5"/>
    </row>
    <row r="166" spans="4:8" ht="15" customHeight="1">
      <c r="D166" s="10">
        <f>IF(D159="","",IF(MONTH(D159+1)=MONTH($D$5),D159+1,""))</f>
        <v>46227</v>
      </c>
      <c r="E166" s="6"/>
      <c r="F166" s="2"/>
      <c r="G166" s="3" t="str">
        <f>IF($D166="","",IF(OR(WEEKDAY($D166)=1,WEEKDAY($D166)=7),"","Work Total"))</f>
        <v>Work Total</v>
      </c>
      <c r="H166" s="16">
        <f>IF($D166="","",IF(OR(WEEKDAY($D166)=1,WEEKDAY($D166)=7),"Weekend",SUMIFS('Clockify Helper'!$F$2:$F$1000,'Clockify Helper'!$A$2:$A$1000,$D166,'Clockify Helper'!$D$2:$D$1000,"Work")))</f>
        <v>0</v>
      </c>
    </row>
    <row r="167" spans="4:8" ht="25.5" hidden="1" customHeight="1">
      <c r="D167" s="17"/>
      <c r="E167" s="17"/>
      <c r="F167" s="9"/>
      <c r="G167" s="18"/>
      <c r="H167" s="19"/>
    </row>
    <row r="168" spans="4:8" ht="25.5" hidden="1" customHeight="1">
      <c r="D168" s="17"/>
      <c r="E168" s="17"/>
      <c r="F168" s="9"/>
      <c r="G168" s="18"/>
      <c r="H168" s="19"/>
    </row>
    <row r="169" spans="4:8" ht="25.5" hidden="1" customHeight="1">
      <c r="D169" s="17"/>
      <c r="E169" s="17"/>
      <c r="F169" s="9"/>
      <c r="G169" s="18"/>
      <c r="H169" s="19"/>
    </row>
    <row r="170" spans="4:8" ht="25.5" hidden="1" customHeight="1">
      <c r="D170" s="17"/>
      <c r="E170" s="17"/>
      <c r="F170" s="9"/>
      <c r="G170" s="18"/>
      <c r="H170" s="19"/>
    </row>
    <row r="171" spans="4:8" ht="25.5" hidden="1" customHeight="1">
      <c r="D171" s="17"/>
      <c r="E171" s="17"/>
      <c r="F171" s="9"/>
      <c r="G171" s="18"/>
      <c r="H171" s="19"/>
    </row>
    <row r="172" spans="4:8" ht="14.25" customHeight="1">
      <c r="D172" s="7"/>
      <c r="E172" s="7"/>
      <c r="F172" s="8"/>
      <c r="G172" s="4"/>
      <c r="H172" s="5"/>
    </row>
    <row r="173" spans="4:8" ht="15" customHeight="1">
      <c r="D173" s="10">
        <f>IF(D166="","",IF(MONTH(D166+1)=MONTH($D$5),D166+1,""))</f>
        <v>46228</v>
      </c>
      <c r="E173" s="6"/>
      <c r="F173" s="2"/>
      <c r="G173" s="3" t="str">
        <f>IF($D173="","",IF(OR(WEEKDAY($D173)=1,WEEKDAY($D173)=7),"","Work Total"))</f>
        <v/>
      </c>
      <c r="H173" s="16" t="str">
        <f>IF($D173="","",IF(OR(WEEKDAY($D173)=1,WEEKDAY($D173)=7),"Weekend",SUMIFS('Clockify Helper'!$F$2:$F$1000,'Clockify Helper'!$A$2:$A$1000,$D173,'Clockify Helper'!$D$2:$D$1000,"Work")))</f>
        <v>Weekend</v>
      </c>
    </row>
    <row r="174" spans="4:8" ht="25.5" hidden="1" customHeight="1">
      <c r="D174" s="17"/>
      <c r="E174" s="17"/>
      <c r="F174" s="9"/>
      <c r="G174" s="18"/>
      <c r="H174" s="19"/>
    </row>
    <row r="175" spans="4:8" ht="25.5" hidden="1" customHeight="1">
      <c r="D175" s="17"/>
      <c r="E175" s="17"/>
      <c r="F175" s="9"/>
      <c r="G175" s="18"/>
      <c r="H175" s="19"/>
    </row>
    <row r="176" spans="4:8" ht="25.5" hidden="1" customHeight="1">
      <c r="D176" s="17"/>
      <c r="E176" s="17"/>
      <c r="F176" s="9"/>
      <c r="G176" s="18"/>
      <c r="H176" s="19"/>
    </row>
    <row r="177" spans="4:8" ht="25.5" hidden="1" customHeight="1">
      <c r="D177" s="17"/>
      <c r="E177" s="17"/>
      <c r="F177" s="9"/>
      <c r="G177" s="18"/>
      <c r="H177" s="19"/>
    </row>
    <row r="178" spans="4:8" ht="25.5" hidden="1" customHeight="1">
      <c r="D178" s="17"/>
      <c r="E178" s="17"/>
      <c r="F178" s="9"/>
      <c r="G178" s="18"/>
      <c r="H178" s="19"/>
    </row>
    <row r="179" spans="4:8" ht="14.25" customHeight="1">
      <c r="D179" s="7"/>
      <c r="E179" s="7"/>
      <c r="F179" s="8"/>
      <c r="G179" s="4"/>
      <c r="H179" s="5"/>
    </row>
    <row r="180" spans="4:8" ht="15" customHeight="1">
      <c r="D180" s="10">
        <f>IF(D173="","",IF(MONTH(D173+1)=MONTH($D$5),D173+1,""))</f>
        <v>46229</v>
      </c>
      <c r="E180" s="6"/>
      <c r="F180" s="2"/>
      <c r="G180" s="3" t="str">
        <f>IF($D180="","",IF(OR(WEEKDAY($D180)=1,WEEKDAY($D180)=7),"","Work Total"))</f>
        <v/>
      </c>
      <c r="H180" s="16" t="str">
        <f>IF($D180="","",IF(OR(WEEKDAY($D180)=1,WEEKDAY($D180)=7),"Weekend",SUMIFS('Clockify Helper'!$F$2:$F$1000,'Clockify Helper'!$A$2:$A$1000,$D180,'Clockify Helper'!$D$2:$D$1000,"Work")))</f>
        <v>Weekend</v>
      </c>
    </row>
    <row r="181" spans="4:8" ht="25.5" hidden="1" customHeight="1">
      <c r="D181" s="17"/>
      <c r="E181" s="17"/>
      <c r="F181" s="9"/>
      <c r="G181" s="18"/>
      <c r="H181" s="19"/>
    </row>
    <row r="182" spans="4:8" ht="25.5" hidden="1" customHeight="1">
      <c r="D182" s="17"/>
      <c r="E182" s="17"/>
      <c r="F182" s="9"/>
      <c r="G182" s="18"/>
      <c r="H182" s="19"/>
    </row>
    <row r="183" spans="4:8" ht="25.5" hidden="1" customHeight="1">
      <c r="D183" s="17"/>
      <c r="E183" s="17"/>
      <c r="F183" s="9"/>
      <c r="G183" s="18"/>
      <c r="H183" s="19"/>
    </row>
    <row r="184" spans="4:8" ht="25.5" hidden="1" customHeight="1">
      <c r="D184" s="17"/>
      <c r="E184" s="17"/>
      <c r="F184" s="9"/>
      <c r="G184" s="18"/>
      <c r="H184" s="19"/>
    </row>
    <row r="185" spans="4:8" ht="25.5" hidden="1" customHeight="1">
      <c r="D185" s="17"/>
      <c r="E185" s="17"/>
      <c r="F185" s="9"/>
      <c r="G185" s="18"/>
      <c r="H185" s="19"/>
    </row>
    <row r="186" spans="4:8" ht="14.25" customHeight="1">
      <c r="D186" s="7"/>
      <c r="E186" s="7"/>
      <c r="F186" s="8"/>
      <c r="G186" s="4"/>
      <c r="H186" s="5"/>
    </row>
    <row r="187" spans="4:8" ht="15" customHeight="1">
      <c r="D187" s="10">
        <f>IF(D180="","",IF(MONTH(D180+1)=MONTH($D$5),D180+1,""))</f>
        <v>46230</v>
      </c>
      <c r="E187" s="6"/>
      <c r="F187" s="2"/>
      <c r="G187" s="3" t="str">
        <f>IF($D187="","",IF(OR(WEEKDAY($D187)=1,WEEKDAY($D187)=7),"","Work Total"))</f>
        <v>Work Total</v>
      </c>
      <c r="H187" s="16">
        <f>IF($D187="","",IF(OR(WEEKDAY($D187)=1,WEEKDAY($D187)=7),"Weekend",SUMIFS('Clockify Helper'!$F$2:$F$1000,'Clockify Helper'!$A$2:$A$1000,$D187,'Clockify Helper'!$D$2:$D$1000,"Work")))</f>
        <v>0</v>
      </c>
    </row>
    <row r="188" spans="4:8" ht="25.5" hidden="1" customHeight="1">
      <c r="D188" s="17"/>
      <c r="E188" s="17"/>
      <c r="F188" s="9"/>
      <c r="G188" s="18"/>
      <c r="H188" s="19"/>
    </row>
    <row r="189" spans="4:8" ht="25.5" hidden="1" customHeight="1">
      <c r="D189" s="17"/>
      <c r="E189" s="17"/>
      <c r="F189" s="9"/>
      <c r="G189" s="18"/>
      <c r="H189" s="19"/>
    </row>
    <row r="190" spans="4:8" ht="25.5" hidden="1" customHeight="1">
      <c r="D190" s="17"/>
      <c r="E190" s="17"/>
      <c r="F190" s="9"/>
      <c r="G190" s="18"/>
      <c r="H190" s="19"/>
    </row>
    <row r="191" spans="4:8" ht="25.5" hidden="1" customHeight="1">
      <c r="D191" s="17"/>
      <c r="E191" s="17"/>
      <c r="F191" s="9"/>
      <c r="G191" s="18"/>
      <c r="H191" s="19"/>
    </row>
    <row r="192" spans="4:8" ht="25.5" hidden="1" customHeight="1">
      <c r="D192" s="17"/>
      <c r="E192" s="17"/>
      <c r="F192" s="9"/>
      <c r="G192" s="18"/>
      <c r="H192" s="19"/>
    </row>
    <row r="193" spans="4:8" ht="14.25" customHeight="1">
      <c r="D193" s="7"/>
      <c r="E193" s="7"/>
      <c r="F193" s="8"/>
      <c r="G193" s="4"/>
      <c r="H193" s="5"/>
    </row>
    <row r="194" spans="4:8" ht="15" customHeight="1">
      <c r="D194" s="10">
        <f>IF(D187="","",IF(MONTH(D187+1)=MONTH($D$5),D187+1,""))</f>
        <v>46231</v>
      </c>
      <c r="E194" s="6"/>
      <c r="F194" s="2"/>
      <c r="G194" s="3" t="str">
        <f>IF($D194="","",IF(OR(WEEKDAY($D194)=1,WEEKDAY($D194)=7),"","Work Total"))</f>
        <v>Work Total</v>
      </c>
      <c r="H194" s="16">
        <f>IF($D194="","",IF(OR(WEEKDAY($D194)=1,WEEKDAY($D194)=7),"Weekend",SUMIFS('Clockify Helper'!$F$2:$F$1000,'Clockify Helper'!$A$2:$A$1000,$D194,'Clockify Helper'!$D$2:$D$1000,"Work")))</f>
        <v>0</v>
      </c>
    </row>
    <row r="195" spans="4:8" ht="25.5" hidden="1" customHeight="1">
      <c r="D195" s="17"/>
      <c r="E195" s="17"/>
      <c r="F195" s="9"/>
      <c r="G195" s="18"/>
      <c r="H195" s="19"/>
    </row>
    <row r="196" spans="4:8" ht="25.5" hidden="1" customHeight="1">
      <c r="D196" s="17"/>
      <c r="E196" s="17"/>
      <c r="F196" s="9"/>
      <c r="G196" s="18"/>
      <c r="H196" s="19"/>
    </row>
    <row r="197" spans="4:8" ht="25.5" hidden="1" customHeight="1">
      <c r="D197" s="17"/>
      <c r="E197" s="17"/>
      <c r="F197" s="9"/>
      <c r="G197" s="18"/>
      <c r="H197" s="19"/>
    </row>
    <row r="198" spans="4:8" ht="25.5" hidden="1" customHeight="1">
      <c r="D198" s="17"/>
      <c r="E198" s="17"/>
      <c r="F198" s="9"/>
      <c r="G198" s="18"/>
      <c r="H198" s="19"/>
    </row>
    <row r="199" spans="4:8" ht="25.5" hidden="1" customHeight="1">
      <c r="D199" s="17"/>
      <c r="E199" s="17"/>
      <c r="F199" s="9"/>
      <c r="G199" s="18"/>
      <c r="H199" s="19"/>
    </row>
    <row r="200" spans="4:8" ht="14.25" customHeight="1">
      <c r="D200" s="7"/>
      <c r="E200" s="7"/>
      <c r="F200" s="8"/>
      <c r="G200" s="4"/>
      <c r="H200" s="5"/>
    </row>
    <row r="201" spans="4:8" ht="15" customHeight="1">
      <c r="D201" s="10">
        <f>IF(D194="","",IF(MONTH(D194+1)=MONTH($D$5),D194+1,""))</f>
        <v>46232</v>
      </c>
      <c r="E201" s="6"/>
      <c r="F201" s="2"/>
      <c r="G201" s="3" t="str">
        <f>IF($D201="","",IF(OR(WEEKDAY($D201)=1,WEEKDAY($D201)=7),"","Work Total"))</f>
        <v>Work Total</v>
      </c>
      <c r="H201" s="16">
        <f>IF($D201="","",IF(OR(WEEKDAY($D201)=1,WEEKDAY($D201)=7),"Weekend",SUMIFS('Clockify Helper'!$F$2:$F$1000,'Clockify Helper'!$A$2:$A$1000,$D201,'Clockify Helper'!$D$2:$D$1000,"Work")))</f>
        <v>0</v>
      </c>
    </row>
    <row r="202" spans="4:8" ht="25.5" hidden="1" customHeight="1">
      <c r="D202" s="17"/>
      <c r="E202" s="17"/>
      <c r="F202" s="9"/>
      <c r="G202" s="18"/>
      <c r="H202" s="19"/>
    </row>
    <row r="203" spans="4:8" ht="25.5" hidden="1" customHeight="1">
      <c r="D203" s="17"/>
      <c r="E203" s="17"/>
      <c r="F203" s="9"/>
      <c r="G203" s="18"/>
      <c r="H203" s="19"/>
    </row>
    <row r="204" spans="4:8" ht="25.5" hidden="1" customHeight="1">
      <c r="D204" s="17"/>
      <c r="E204" s="17"/>
      <c r="F204" s="9"/>
      <c r="G204" s="18"/>
      <c r="H204" s="19"/>
    </row>
    <row r="205" spans="4:8" ht="25.5" hidden="1" customHeight="1">
      <c r="D205" s="17"/>
      <c r="E205" s="17"/>
      <c r="F205" s="9"/>
      <c r="G205" s="18"/>
      <c r="H205" s="19"/>
    </row>
    <row r="206" spans="4:8" ht="25.5" hidden="1" customHeight="1">
      <c r="D206" s="17"/>
      <c r="E206" s="17"/>
      <c r="F206" s="9"/>
      <c r="G206" s="18"/>
      <c r="H206" s="19"/>
    </row>
    <row r="207" spans="4:8" ht="14.25" customHeight="1">
      <c r="D207" s="7"/>
      <c r="E207" s="7"/>
      <c r="F207" s="8"/>
      <c r="G207" s="4"/>
      <c r="H207" s="5"/>
    </row>
    <row r="208" spans="4:8" ht="15" customHeight="1">
      <c r="D208" s="10">
        <f>IF(D201="","",IF(MONTH(D201+1)=MONTH($D$5),D201+1,""))</f>
        <v>46233</v>
      </c>
      <c r="E208" s="6"/>
      <c r="F208" s="2"/>
      <c r="G208" s="3" t="str">
        <f>IF($D208="","",IF(OR(WEEKDAY($D208)=1,WEEKDAY($D208)=7),"","Work Total"))</f>
        <v>Work Total</v>
      </c>
      <c r="H208" s="16">
        <f>IF($D208="","",IF(OR(WEEKDAY($D208)=1,WEEKDAY($D208)=7),"Weekend",SUMIFS('Clockify Helper'!$F$2:$F$1000,'Clockify Helper'!$A$2:$A$1000,$D208,'Clockify Helper'!$D$2:$D$1000,"Work")))</f>
        <v>0</v>
      </c>
    </row>
    <row r="209" spans="4:8" ht="25.5" hidden="1" customHeight="1">
      <c r="D209" s="17"/>
      <c r="E209" s="17"/>
      <c r="F209" s="9"/>
      <c r="G209" s="18"/>
      <c r="H209" s="19"/>
    </row>
    <row r="210" spans="4:8" ht="25.5" hidden="1" customHeight="1">
      <c r="D210" s="17"/>
      <c r="E210" s="17"/>
      <c r="F210" s="9"/>
      <c r="G210" s="18"/>
      <c r="H210" s="19"/>
    </row>
    <row r="211" spans="4:8" ht="25.5" hidden="1" customHeight="1">
      <c r="D211" s="17"/>
      <c r="E211" s="17"/>
      <c r="F211" s="9"/>
      <c r="G211" s="18"/>
      <c r="H211" s="19"/>
    </row>
    <row r="212" spans="4:8" ht="25.5" hidden="1" customHeight="1">
      <c r="D212" s="17"/>
      <c r="E212" s="17"/>
      <c r="F212" s="9"/>
      <c r="G212" s="18"/>
      <c r="H212" s="19"/>
    </row>
    <row r="213" spans="4:8" ht="25.5" hidden="1" customHeight="1">
      <c r="D213" s="17"/>
      <c r="E213" s="17"/>
      <c r="F213" s="9"/>
      <c r="G213" s="18"/>
      <c r="H213" s="19"/>
    </row>
    <row r="214" spans="4:8" ht="14.25" customHeight="1">
      <c r="D214" s="7"/>
      <c r="E214" s="7"/>
      <c r="F214" s="8"/>
      <c r="G214" s="4"/>
      <c r="H214" s="5"/>
    </row>
    <row r="215" spans="4:8" ht="15" customHeight="1">
      <c r="D215" s="10">
        <f>IF(D208="","",IF(MONTH(D208+1)=MONTH($D$5),D208+1,""))</f>
        <v>46234</v>
      </c>
      <c r="E215" s="6"/>
      <c r="F215" s="2"/>
      <c r="G215" s="3" t="str">
        <f>IF($D215="","",IF(OR(WEEKDAY($D215)=1,WEEKDAY($D215)=7),"","Work Total"))</f>
        <v>Work Total</v>
      </c>
      <c r="H215" s="16">
        <f>IF($D215="","",IF(OR(WEEKDAY($D215)=1,WEEKDAY($D215)=7),"Weekend",SUMIFS('Clockify Helper'!$F$2:$F$1000,'Clockify Helper'!$A$2:$A$1000,$D215,'Clockify Helper'!$D$2:$D$1000,"Work")))</f>
        <v>0</v>
      </c>
    </row>
    <row r="216" spans="4:8" ht="25.5" hidden="1" customHeight="1">
      <c r="D216" s="17"/>
      <c r="E216" s="17"/>
      <c r="F216" s="9"/>
      <c r="G216" s="18"/>
      <c r="H216" s="19"/>
    </row>
    <row r="217" spans="4:8" ht="25.5" hidden="1" customHeight="1">
      <c r="D217" s="17"/>
      <c r="E217" s="17"/>
      <c r="F217" s="9"/>
      <c r="G217" s="18"/>
      <c r="H217" s="19"/>
    </row>
    <row r="218" spans="4:8" ht="25.5" hidden="1" customHeight="1">
      <c r="D218" s="17"/>
      <c r="E218" s="17"/>
      <c r="F218" s="9"/>
      <c r="G218" s="18"/>
      <c r="H218" s="19"/>
    </row>
    <row r="219" spans="4:8" ht="25.5" hidden="1" customHeight="1">
      <c r="D219" s="17"/>
      <c r="E219" s="17"/>
      <c r="F219" s="9"/>
      <c r="G219" s="18"/>
      <c r="H219" s="19"/>
    </row>
    <row r="220" spans="4:8" ht="25.5" hidden="1" customHeight="1">
      <c r="D220" s="17"/>
      <c r="E220" s="17"/>
      <c r="F220" s="9"/>
      <c r="G220" s="18"/>
      <c r="H220" s="19"/>
    </row>
    <row r="221" spans="4:8" ht="14.25" customHeight="1">
      <c r="D221" s="7"/>
      <c r="E221" s="7"/>
      <c r="F221" s="8"/>
      <c r="G221" s="4"/>
      <c r="H221" s="5"/>
    </row>
    <row r="222" spans="4:8" ht="15" customHeight="1">
      <c r="D222" s="43" t="s">
        <v>4</v>
      </c>
      <c r="E222" s="44"/>
      <c r="F222" s="44"/>
      <c r="G222" s="45"/>
      <c r="H222" s="11">
        <f>SUM(H5,H12,H19,H26,H33,H40,H47,H54,H61,H68,H75,H82,H89,H96,H103,H110,H117,H124,H131,H138,H145,H152,H159,H166,H173,H180,H187,H194,H201,H208,H215)</f>
        <v>0.21458333333333332</v>
      </c>
    </row>
  </sheetData>
  <mergeCells count="3">
    <mergeCell ref="D4:H4"/>
    <mergeCell ref="D1:H1"/>
    <mergeCell ref="D222:G22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89"/>
  <sheetViews>
    <sheetView topLeftCell="B1" workbookViewId="0">
      <pane ySplit="1" topLeftCell="A2" activePane="bottomLeft" state="frozen"/>
      <selection pane="bottomLeft" activeCell="I4" sqref="I4"/>
    </sheetView>
  </sheetViews>
  <sheetFormatPr defaultRowHeight="12.75"/>
  <cols>
    <col min="1" max="1" width="63.28515625" bestFit="1" customWidth="1"/>
    <col min="2" max="2" width="12" customWidth="1"/>
    <col min="3" max="3" width="60" bestFit="1" customWidth="1"/>
    <col min="4" max="4" width="16" customWidth="1"/>
    <col min="5" max="6" width="12" customWidth="1"/>
    <col min="7" max="7" width="24" customWidth="1"/>
    <col min="8" max="8" width="12" customWidth="1"/>
    <col min="9" max="9" width="10" customWidth="1"/>
    <col min="10" max="10" width="14" customWidth="1"/>
    <col min="11" max="11" width="12" customWidth="1"/>
    <col min="12" max="12" width="14" customWidth="1"/>
    <col min="13" max="13" width="12" customWidth="1"/>
    <col min="14" max="14" width="14" customWidth="1"/>
    <col min="15" max="15" width="18" customWidth="1"/>
  </cols>
  <sheetData>
    <row r="1" spans="1:17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  <c r="K1" s="20" t="s">
        <v>15</v>
      </c>
      <c r="L1" s="20" t="s">
        <v>16</v>
      </c>
      <c r="M1" s="20" t="s">
        <v>17</v>
      </c>
      <c r="N1" s="20" t="s">
        <v>18</v>
      </c>
      <c r="O1" s="20" t="s">
        <v>19</v>
      </c>
      <c r="Q1" s="21"/>
    </row>
    <row r="2" spans="1:17">
      <c r="A2" s="35" t="s">
        <v>28</v>
      </c>
      <c r="B2" s="35"/>
      <c r="C2" s="35" t="s">
        <v>29</v>
      </c>
      <c r="D2" s="35"/>
      <c r="E2" s="35" t="s">
        <v>20</v>
      </c>
      <c r="F2" s="35"/>
      <c r="G2" s="35"/>
      <c r="H2" s="35"/>
      <c r="I2" s="35"/>
      <c r="J2" s="36">
        <v>46213</v>
      </c>
      <c r="K2" s="37">
        <v>2.6673611111111111</v>
      </c>
      <c r="L2" s="36">
        <v>46213</v>
      </c>
      <c r="M2" s="37">
        <v>2.723611111111111</v>
      </c>
      <c r="N2" s="37">
        <v>5.6250000000000001E-2</v>
      </c>
      <c r="O2" s="38">
        <v>1.35</v>
      </c>
    </row>
    <row r="3" spans="1:17">
      <c r="A3" s="35" t="s">
        <v>28</v>
      </c>
      <c r="B3" s="35"/>
      <c r="C3" s="35" t="s">
        <v>30</v>
      </c>
      <c r="D3" s="35"/>
      <c r="E3" s="35" t="s">
        <v>20</v>
      </c>
      <c r="F3" s="35"/>
      <c r="G3" s="35"/>
      <c r="H3" s="35"/>
      <c r="I3" s="35"/>
      <c r="J3" s="36">
        <v>46209</v>
      </c>
      <c r="K3" s="37">
        <v>2.8826388888888888</v>
      </c>
      <c r="L3" s="36">
        <v>46209</v>
      </c>
      <c r="M3" s="37">
        <v>2.8930555555555557</v>
      </c>
      <c r="N3" s="37">
        <v>1.0416666666666666E-2</v>
      </c>
      <c r="O3" s="38">
        <v>0.25</v>
      </c>
    </row>
    <row r="4" spans="1:17">
      <c r="A4" s="35" t="s">
        <v>31</v>
      </c>
      <c r="B4" s="35"/>
      <c r="C4" s="35" t="s">
        <v>32</v>
      </c>
      <c r="D4" s="35"/>
      <c r="E4" s="35" t="s">
        <v>20</v>
      </c>
      <c r="F4" s="35"/>
      <c r="G4" s="35"/>
      <c r="H4" s="35"/>
      <c r="I4" s="35"/>
      <c r="J4" s="36">
        <v>46209</v>
      </c>
      <c r="K4" s="37">
        <v>2.6666666666666665</v>
      </c>
      <c r="L4" s="36">
        <v>46209</v>
      </c>
      <c r="M4" s="37">
        <v>2.7972222222222221</v>
      </c>
      <c r="N4" s="37">
        <v>0.13055555555555556</v>
      </c>
      <c r="O4" s="38">
        <v>3.1333333333333333</v>
      </c>
    </row>
    <row r="5" spans="1:17">
      <c r="A5" s="35" t="s">
        <v>27</v>
      </c>
      <c r="B5" s="35"/>
      <c r="C5" s="35" t="s">
        <v>33</v>
      </c>
      <c r="D5" s="35"/>
      <c r="E5" s="35" t="s">
        <v>20</v>
      </c>
      <c r="F5" s="35"/>
      <c r="G5" s="35"/>
      <c r="H5" s="35"/>
      <c r="I5" s="35"/>
      <c r="J5" s="36">
        <v>46204</v>
      </c>
      <c r="K5" s="37">
        <v>2.901388888888889</v>
      </c>
      <c r="L5" s="36">
        <v>46204</v>
      </c>
      <c r="M5" s="37">
        <v>2.9187500000000002</v>
      </c>
      <c r="N5" s="37">
        <v>1.7361111111111112E-2</v>
      </c>
      <c r="O5" s="38">
        <v>0.41666666666666669</v>
      </c>
    </row>
    <row r="6" spans="1:17" ht="14.25">
      <c r="A6" s="30"/>
      <c r="B6" s="31"/>
      <c r="C6" s="32"/>
      <c r="D6" s="31"/>
      <c r="E6" s="31"/>
      <c r="F6" s="31"/>
      <c r="G6" s="32"/>
      <c r="H6" s="31"/>
      <c r="I6" s="31"/>
      <c r="J6" s="33"/>
      <c r="K6" s="31"/>
      <c r="L6" s="33"/>
      <c r="M6" s="31"/>
      <c r="N6" s="31"/>
      <c r="O6" s="34"/>
    </row>
    <row r="7" spans="1:17" ht="14.25">
      <c r="A7" s="30"/>
      <c r="B7" s="31"/>
      <c r="C7" s="32"/>
      <c r="D7" s="31"/>
      <c r="E7" s="31"/>
      <c r="F7" s="31"/>
      <c r="G7" s="32"/>
      <c r="H7" s="31"/>
      <c r="I7" s="31"/>
      <c r="J7" s="33"/>
      <c r="K7" s="31"/>
      <c r="L7" s="33"/>
      <c r="M7" s="31"/>
      <c r="N7" s="31"/>
      <c r="O7" s="34"/>
    </row>
    <row r="8" spans="1:17" ht="14.25">
      <c r="A8" s="30"/>
      <c r="B8" s="31"/>
      <c r="C8" s="32"/>
      <c r="D8" s="31"/>
      <c r="E8" s="31"/>
      <c r="F8" s="31"/>
      <c r="G8" s="32"/>
      <c r="H8" s="31"/>
      <c r="I8" s="31"/>
      <c r="J8" s="33"/>
      <c r="K8" s="31"/>
      <c r="L8" s="33"/>
      <c r="M8" s="31"/>
      <c r="N8" s="31"/>
      <c r="O8" s="34"/>
    </row>
    <row r="9" spans="1:17" ht="14.25">
      <c r="A9" s="30"/>
      <c r="B9" s="31"/>
      <c r="C9" s="32"/>
      <c r="D9" s="31"/>
      <c r="E9" s="31"/>
      <c r="F9" s="31"/>
      <c r="G9" s="32"/>
      <c r="H9" s="31"/>
      <c r="I9" s="31"/>
      <c r="J9" s="33"/>
      <c r="K9" s="31"/>
      <c r="L9" s="33"/>
      <c r="M9" s="31"/>
      <c r="N9" s="31"/>
      <c r="O9" s="34"/>
    </row>
    <row r="10" spans="1:17" ht="14.25">
      <c r="A10" s="30"/>
      <c r="B10" s="31"/>
      <c r="C10" s="32"/>
      <c r="D10" s="31"/>
      <c r="E10" s="31"/>
      <c r="F10" s="31"/>
      <c r="G10" s="32"/>
      <c r="H10" s="31"/>
      <c r="I10" s="31"/>
      <c r="J10" s="33"/>
      <c r="K10" s="31"/>
      <c r="L10" s="33"/>
      <c r="M10" s="31"/>
      <c r="N10" s="31"/>
      <c r="O10" s="34"/>
    </row>
    <row r="11" spans="1:17" ht="14.25">
      <c r="A11" s="30"/>
      <c r="B11" s="31"/>
      <c r="C11" s="32"/>
      <c r="D11" s="31"/>
      <c r="E11" s="31"/>
      <c r="F11" s="31"/>
      <c r="G11" s="32"/>
      <c r="H11" s="31"/>
      <c r="I11" s="31"/>
      <c r="J11" s="33"/>
      <c r="K11" s="31"/>
      <c r="L11" s="33"/>
      <c r="M11" s="31"/>
      <c r="N11" s="31"/>
      <c r="O11" s="34"/>
    </row>
    <row r="12" spans="1:17" ht="14.25">
      <c r="A12" s="30"/>
      <c r="B12" s="31"/>
      <c r="C12" s="32"/>
      <c r="D12" s="31"/>
      <c r="E12" s="31"/>
      <c r="F12" s="31"/>
      <c r="G12" s="32"/>
      <c r="H12" s="31"/>
      <c r="I12" s="31"/>
      <c r="J12" s="33"/>
      <c r="K12" s="31"/>
      <c r="L12" s="33"/>
      <c r="M12" s="31"/>
      <c r="N12" s="31"/>
      <c r="O12" s="34"/>
    </row>
    <row r="13" spans="1:17" ht="14.25">
      <c r="A13" s="30"/>
      <c r="B13" s="31"/>
      <c r="C13" s="32"/>
      <c r="D13" s="31"/>
      <c r="E13" s="31"/>
      <c r="F13" s="31"/>
      <c r="G13" s="32"/>
      <c r="H13" s="31"/>
      <c r="I13" s="31"/>
      <c r="J13" s="33"/>
      <c r="K13" s="31"/>
      <c r="L13" s="33"/>
      <c r="M13" s="31"/>
      <c r="N13" s="31"/>
      <c r="O13" s="34"/>
    </row>
    <row r="14" spans="1:17" ht="14.25">
      <c r="A14" s="30"/>
      <c r="B14" s="31"/>
      <c r="C14" s="32"/>
      <c r="D14" s="31"/>
      <c r="E14" s="31"/>
      <c r="F14" s="31"/>
      <c r="G14" s="32"/>
      <c r="H14" s="31"/>
      <c r="I14" s="31"/>
      <c r="J14" s="33"/>
      <c r="K14" s="31"/>
      <c r="L14" s="33"/>
      <c r="M14" s="31"/>
      <c r="N14" s="31"/>
      <c r="O14" s="34"/>
    </row>
    <row r="15" spans="1:17" ht="14.25">
      <c r="A15" s="30"/>
      <c r="B15" s="31"/>
      <c r="C15" s="32"/>
      <c r="D15" s="31"/>
      <c r="E15" s="31"/>
      <c r="F15" s="31"/>
      <c r="G15" s="32"/>
      <c r="H15" s="31"/>
      <c r="I15" s="31"/>
      <c r="J15" s="33"/>
      <c r="K15" s="31"/>
      <c r="L15" s="33"/>
      <c r="M15" s="31"/>
      <c r="N15" s="31"/>
      <c r="O15" s="34"/>
    </row>
    <row r="16" spans="1:17" ht="14.25">
      <c r="A16" s="30"/>
      <c r="B16" s="31"/>
      <c r="C16" s="32"/>
      <c r="D16" s="31"/>
      <c r="E16" s="31"/>
      <c r="F16" s="31"/>
      <c r="G16" s="32"/>
      <c r="H16" s="31"/>
      <c r="I16" s="31"/>
      <c r="J16" s="33"/>
      <c r="K16" s="31"/>
      <c r="L16" s="33"/>
      <c r="M16" s="31"/>
      <c r="N16" s="31"/>
      <c r="O16" s="34"/>
    </row>
    <row r="17" spans="1:15" ht="14.25">
      <c r="A17" s="30"/>
      <c r="B17" s="31"/>
      <c r="C17" s="32"/>
      <c r="D17" s="31"/>
      <c r="E17" s="31"/>
      <c r="F17" s="31"/>
      <c r="G17" s="32"/>
      <c r="H17" s="31"/>
      <c r="I17" s="31"/>
      <c r="J17" s="33"/>
      <c r="K17" s="31"/>
      <c r="L17" s="33"/>
      <c r="M17" s="31"/>
      <c r="N17" s="31"/>
      <c r="O17" s="34"/>
    </row>
    <row r="18" spans="1:15" ht="14.25">
      <c r="A18" s="30"/>
      <c r="B18" s="31"/>
      <c r="C18" s="32"/>
      <c r="D18" s="31"/>
      <c r="E18" s="31"/>
      <c r="F18" s="31"/>
      <c r="G18" s="32"/>
      <c r="H18" s="31"/>
      <c r="I18" s="31"/>
      <c r="J18" s="33"/>
      <c r="K18" s="31"/>
      <c r="L18" s="33"/>
      <c r="M18" s="31"/>
      <c r="N18" s="31"/>
      <c r="O18" s="34"/>
    </row>
    <row r="19" spans="1:15" ht="14.25">
      <c r="A19" s="30"/>
      <c r="B19" s="31"/>
      <c r="C19" s="32"/>
      <c r="D19" s="31"/>
      <c r="E19" s="31"/>
      <c r="F19" s="31"/>
      <c r="G19" s="32"/>
      <c r="H19" s="31"/>
      <c r="I19" s="31"/>
      <c r="J19" s="33"/>
      <c r="K19" s="31"/>
      <c r="L19" s="33"/>
      <c r="M19" s="31"/>
      <c r="N19" s="31"/>
      <c r="O19" s="34"/>
    </row>
    <row r="20" spans="1:15" ht="14.25">
      <c r="A20" s="30"/>
      <c r="B20" s="31"/>
      <c r="C20" s="32"/>
      <c r="D20" s="31"/>
      <c r="E20" s="31"/>
      <c r="F20" s="31"/>
      <c r="G20" s="32"/>
      <c r="H20" s="31"/>
      <c r="I20" s="31"/>
      <c r="J20" s="33"/>
      <c r="K20" s="31"/>
      <c r="L20" s="33"/>
      <c r="M20" s="31"/>
      <c r="N20" s="31"/>
      <c r="O20" s="34"/>
    </row>
    <row r="21" spans="1:15" ht="14.25">
      <c r="A21" s="30"/>
      <c r="B21" s="31"/>
      <c r="C21" s="32"/>
      <c r="D21" s="31"/>
      <c r="E21" s="31"/>
      <c r="F21" s="31"/>
      <c r="G21" s="32"/>
      <c r="H21" s="31"/>
      <c r="I21" s="31"/>
      <c r="J21" s="33"/>
      <c r="K21" s="31"/>
      <c r="L21" s="33"/>
      <c r="M21" s="31"/>
      <c r="N21" s="31"/>
      <c r="O21" s="34"/>
    </row>
    <row r="22" spans="1:15" ht="14.25">
      <c r="A22" s="30"/>
      <c r="B22" s="31"/>
      <c r="C22" s="32"/>
      <c r="D22" s="31"/>
      <c r="E22" s="31"/>
      <c r="F22" s="31"/>
      <c r="G22" s="32"/>
      <c r="H22" s="31"/>
      <c r="I22" s="31"/>
      <c r="J22" s="33"/>
      <c r="K22" s="31"/>
      <c r="L22" s="33"/>
      <c r="M22" s="31"/>
      <c r="N22" s="31"/>
      <c r="O22" s="34"/>
    </row>
    <row r="23" spans="1:15" ht="14.25">
      <c r="A23" s="30"/>
      <c r="B23" s="31"/>
      <c r="C23" s="32"/>
      <c r="D23" s="31"/>
      <c r="E23" s="31"/>
      <c r="F23" s="31"/>
      <c r="G23" s="32"/>
      <c r="H23" s="31"/>
      <c r="I23" s="31"/>
      <c r="J23" s="33"/>
      <c r="K23" s="31"/>
      <c r="L23" s="33"/>
      <c r="M23" s="31"/>
      <c r="N23" s="31"/>
      <c r="O23" s="34"/>
    </row>
    <row r="24" spans="1:15" ht="14.25">
      <c r="A24" s="30"/>
      <c r="B24" s="31"/>
      <c r="C24" s="32"/>
      <c r="D24" s="31"/>
      <c r="E24" s="31"/>
      <c r="F24" s="31"/>
      <c r="G24" s="32"/>
      <c r="H24" s="31"/>
      <c r="I24" s="31"/>
      <c r="J24" s="33"/>
      <c r="K24" s="31"/>
      <c r="L24" s="33"/>
      <c r="M24" s="31"/>
      <c r="N24" s="31"/>
      <c r="O24" s="34"/>
    </row>
    <row r="25" spans="1:15" ht="14.25">
      <c r="A25" s="30"/>
      <c r="B25" s="31"/>
      <c r="C25" s="32"/>
      <c r="D25" s="31"/>
      <c r="E25" s="31"/>
      <c r="F25" s="31"/>
      <c r="G25" s="32"/>
      <c r="H25" s="31"/>
      <c r="I25" s="31"/>
      <c r="J25" s="33"/>
      <c r="K25" s="31"/>
      <c r="L25" s="33"/>
      <c r="M25" s="31"/>
      <c r="N25" s="31"/>
      <c r="O25" s="34"/>
    </row>
    <row r="26" spans="1:15" ht="14.25">
      <c r="A26" s="30"/>
      <c r="B26" s="31"/>
      <c r="C26" s="32"/>
      <c r="D26" s="31"/>
      <c r="E26" s="31"/>
      <c r="F26" s="31"/>
      <c r="G26" s="32"/>
      <c r="H26" s="31"/>
      <c r="I26" s="31"/>
      <c r="J26" s="33"/>
      <c r="K26" s="31"/>
      <c r="L26" s="33"/>
      <c r="M26" s="31"/>
      <c r="N26" s="31"/>
      <c r="O26" s="34"/>
    </row>
    <row r="27" spans="1:15" ht="14.25">
      <c r="A27" s="30"/>
      <c r="B27" s="31"/>
      <c r="C27" s="32"/>
      <c r="D27" s="31"/>
      <c r="E27" s="31"/>
      <c r="F27" s="31"/>
      <c r="G27" s="32"/>
      <c r="H27" s="31"/>
      <c r="I27" s="31"/>
      <c r="J27" s="33"/>
      <c r="K27" s="31"/>
      <c r="L27" s="33"/>
      <c r="M27" s="31"/>
      <c r="N27" s="31"/>
      <c r="O27" s="34"/>
    </row>
    <row r="28" spans="1:15" ht="14.25">
      <c r="A28" s="30"/>
      <c r="B28" s="31"/>
      <c r="C28" s="32"/>
      <c r="D28" s="31"/>
      <c r="E28" s="31"/>
      <c r="F28" s="31"/>
      <c r="G28" s="32"/>
      <c r="H28" s="31"/>
      <c r="I28" s="31"/>
      <c r="J28" s="33"/>
      <c r="K28" s="31"/>
      <c r="L28" s="33"/>
      <c r="M28" s="31"/>
      <c r="N28" s="31"/>
      <c r="O28" s="34"/>
    </row>
    <row r="29" spans="1:15" ht="14.25">
      <c r="A29" s="30"/>
      <c r="B29" s="31"/>
      <c r="C29" s="32"/>
      <c r="D29" s="31"/>
      <c r="E29" s="31"/>
      <c r="F29" s="31"/>
      <c r="G29" s="32"/>
      <c r="H29" s="31"/>
      <c r="I29" s="31"/>
      <c r="J29" s="33"/>
      <c r="K29" s="31"/>
      <c r="L29" s="33"/>
      <c r="M29" s="31"/>
      <c r="N29" s="31"/>
      <c r="O29" s="34"/>
    </row>
    <row r="30" spans="1:15" ht="14.25">
      <c r="A30" s="30"/>
      <c r="B30" s="31"/>
      <c r="C30" s="32"/>
      <c r="D30" s="31"/>
      <c r="E30" s="31"/>
      <c r="F30" s="31"/>
      <c r="G30" s="32"/>
      <c r="H30" s="31"/>
      <c r="I30" s="31"/>
      <c r="J30" s="33"/>
      <c r="K30" s="31"/>
      <c r="L30" s="33"/>
      <c r="M30" s="31"/>
      <c r="N30" s="31"/>
      <c r="O30" s="34"/>
    </row>
    <row r="31" spans="1:15" ht="14.25">
      <c r="A31" s="30"/>
      <c r="B31" s="31"/>
      <c r="C31" s="32"/>
      <c r="D31" s="31"/>
      <c r="E31" s="31"/>
      <c r="F31" s="31"/>
      <c r="G31" s="32"/>
      <c r="H31" s="31"/>
      <c r="I31" s="31"/>
      <c r="J31" s="33"/>
      <c r="K31" s="31"/>
      <c r="L31" s="33"/>
      <c r="M31" s="31"/>
      <c r="N31" s="31"/>
      <c r="O31" s="34"/>
    </row>
    <row r="32" spans="1:15" ht="14.25">
      <c r="A32" s="30"/>
      <c r="B32" s="31"/>
      <c r="C32" s="32"/>
      <c r="D32" s="31"/>
      <c r="E32" s="31"/>
      <c r="F32" s="31"/>
      <c r="G32" s="32"/>
      <c r="H32" s="31"/>
      <c r="I32" s="31"/>
      <c r="J32" s="33"/>
      <c r="K32" s="31"/>
      <c r="L32" s="33"/>
      <c r="M32" s="31"/>
      <c r="N32" s="31"/>
      <c r="O32" s="34"/>
    </row>
    <row r="33" spans="1:15" ht="14.25">
      <c r="A33" s="30"/>
      <c r="B33" s="31"/>
      <c r="C33" s="32"/>
      <c r="D33" s="31"/>
      <c r="E33" s="31"/>
      <c r="F33" s="31"/>
      <c r="G33" s="32"/>
      <c r="H33" s="31"/>
      <c r="I33" s="31"/>
      <c r="J33" s="33"/>
      <c r="K33" s="31"/>
      <c r="L33" s="33"/>
      <c r="M33" s="31"/>
      <c r="N33" s="31"/>
      <c r="O33" s="34"/>
    </row>
    <row r="34" spans="1:15" ht="14.25">
      <c r="A34" s="30"/>
      <c r="B34" s="31"/>
      <c r="C34" s="32"/>
      <c r="D34" s="31"/>
      <c r="E34" s="31"/>
      <c r="F34" s="31"/>
      <c r="G34" s="32"/>
      <c r="H34" s="31"/>
      <c r="I34" s="31"/>
      <c r="J34" s="33"/>
      <c r="K34" s="31"/>
      <c r="L34" s="33"/>
      <c r="M34" s="31"/>
      <c r="N34" s="31"/>
      <c r="O34" s="34"/>
    </row>
    <row r="35" spans="1:15" ht="14.25">
      <c r="A35" s="30"/>
      <c r="B35" s="31"/>
      <c r="C35" s="32"/>
      <c r="D35" s="31"/>
      <c r="E35" s="31"/>
      <c r="F35" s="31"/>
      <c r="G35" s="32"/>
      <c r="H35" s="31"/>
      <c r="I35" s="31"/>
      <c r="J35" s="33"/>
      <c r="K35" s="31"/>
      <c r="L35" s="33"/>
      <c r="M35" s="31"/>
      <c r="N35" s="31"/>
      <c r="O35" s="34"/>
    </row>
    <row r="36" spans="1:15" ht="14.25">
      <c r="A36" s="30"/>
      <c r="B36" s="31"/>
      <c r="C36" s="32"/>
      <c r="D36" s="31"/>
      <c r="E36" s="31"/>
      <c r="F36" s="31"/>
      <c r="G36" s="32"/>
      <c r="H36" s="31"/>
      <c r="I36" s="31"/>
      <c r="J36" s="33"/>
      <c r="K36" s="31"/>
      <c r="L36" s="33"/>
      <c r="M36" s="31"/>
      <c r="N36" s="31"/>
      <c r="O36" s="34"/>
    </row>
    <row r="37" spans="1:15" ht="14.25">
      <c r="A37" s="30"/>
      <c r="B37" s="31"/>
      <c r="C37" s="32"/>
      <c r="D37" s="31"/>
      <c r="E37" s="31"/>
      <c r="F37" s="31"/>
      <c r="G37" s="32"/>
      <c r="H37" s="31"/>
      <c r="I37" s="31"/>
      <c r="J37" s="33"/>
      <c r="K37" s="31"/>
      <c r="L37" s="33"/>
      <c r="M37" s="31"/>
      <c r="N37" s="31"/>
      <c r="O37" s="34"/>
    </row>
    <row r="38" spans="1:15" ht="14.25">
      <c r="A38" s="30"/>
      <c r="B38" s="31"/>
      <c r="C38" s="32"/>
      <c r="D38" s="31"/>
      <c r="E38" s="31"/>
      <c r="F38" s="31"/>
      <c r="G38" s="32"/>
      <c r="H38" s="31"/>
      <c r="I38" s="31"/>
      <c r="J38" s="33"/>
      <c r="K38" s="31"/>
      <c r="L38" s="33"/>
      <c r="M38" s="31"/>
      <c r="N38" s="31"/>
      <c r="O38" s="34"/>
    </row>
    <row r="39" spans="1:15" ht="14.25">
      <c r="A39" s="30"/>
      <c r="B39" s="31"/>
      <c r="C39" s="32"/>
      <c r="D39" s="31"/>
      <c r="E39" s="31"/>
      <c r="F39" s="31"/>
      <c r="G39" s="32"/>
      <c r="H39" s="31"/>
      <c r="I39" s="31"/>
      <c r="J39" s="33"/>
      <c r="K39" s="31"/>
      <c r="L39" s="33"/>
      <c r="M39" s="31"/>
      <c r="N39" s="31"/>
      <c r="O39" s="34"/>
    </row>
    <row r="40" spans="1:15" ht="14.25">
      <c r="A40" s="30"/>
      <c r="B40" s="31"/>
      <c r="C40" s="32"/>
      <c r="D40" s="31"/>
      <c r="E40" s="31"/>
      <c r="F40" s="31"/>
      <c r="G40" s="32"/>
      <c r="H40" s="31"/>
      <c r="I40" s="31"/>
      <c r="J40" s="33"/>
      <c r="K40" s="31"/>
      <c r="L40" s="33"/>
      <c r="M40" s="31"/>
      <c r="N40" s="31"/>
      <c r="O40" s="34"/>
    </row>
    <row r="41" spans="1:15" ht="14.25">
      <c r="A41" s="30"/>
      <c r="B41" s="31"/>
      <c r="C41" s="32"/>
      <c r="D41" s="31"/>
      <c r="E41" s="31"/>
      <c r="F41" s="31"/>
      <c r="G41" s="32"/>
      <c r="H41" s="31"/>
      <c r="I41" s="31"/>
      <c r="J41" s="33"/>
      <c r="K41" s="31"/>
      <c r="L41" s="33"/>
      <c r="M41" s="31"/>
      <c r="N41" s="31"/>
      <c r="O41" s="34"/>
    </row>
    <row r="42" spans="1:15" ht="14.25">
      <c r="A42" s="30"/>
      <c r="B42" s="31"/>
      <c r="C42" s="32"/>
      <c r="D42" s="31"/>
      <c r="E42" s="31"/>
      <c r="F42" s="31"/>
      <c r="G42" s="32"/>
      <c r="H42" s="31"/>
      <c r="I42" s="31"/>
      <c r="J42" s="33"/>
      <c r="K42" s="31"/>
      <c r="L42" s="33"/>
      <c r="M42" s="31"/>
      <c r="N42" s="31"/>
      <c r="O42" s="34"/>
    </row>
    <row r="43" spans="1:15" ht="14.25">
      <c r="A43" s="30"/>
      <c r="B43" s="31"/>
      <c r="C43" s="32"/>
      <c r="D43" s="31"/>
      <c r="E43" s="31"/>
      <c r="F43" s="31"/>
      <c r="G43" s="32"/>
      <c r="H43" s="31"/>
      <c r="I43" s="31"/>
      <c r="J43" s="33"/>
      <c r="K43" s="31"/>
      <c r="L43" s="33"/>
      <c r="M43" s="31"/>
      <c r="N43" s="31"/>
      <c r="O43" s="34"/>
    </row>
    <row r="44" spans="1:15" ht="14.25">
      <c r="A44" s="30"/>
      <c r="B44" s="31"/>
      <c r="C44" s="32"/>
      <c r="D44" s="31"/>
      <c r="E44" s="31"/>
      <c r="F44" s="31"/>
      <c r="G44" s="32"/>
      <c r="H44" s="31"/>
      <c r="I44" s="31"/>
      <c r="J44" s="33"/>
      <c r="K44" s="31"/>
      <c r="L44" s="33"/>
      <c r="M44" s="31"/>
      <c r="N44" s="31"/>
      <c r="O44" s="34"/>
    </row>
    <row r="45" spans="1:15" ht="14.25">
      <c r="A45" s="30"/>
      <c r="B45" s="31"/>
      <c r="C45" s="32"/>
      <c r="D45" s="31"/>
      <c r="E45" s="31"/>
      <c r="F45" s="31"/>
      <c r="G45" s="32"/>
      <c r="H45" s="31"/>
      <c r="I45" s="31"/>
      <c r="J45" s="33"/>
      <c r="K45" s="31"/>
      <c r="L45" s="33"/>
      <c r="M45" s="31"/>
      <c r="N45" s="31"/>
      <c r="O45" s="34"/>
    </row>
    <row r="46" spans="1:15" ht="14.25">
      <c r="A46" s="30"/>
      <c r="B46" s="31"/>
      <c r="C46" s="32"/>
      <c r="D46" s="31"/>
      <c r="E46" s="31"/>
      <c r="F46" s="31"/>
      <c r="G46" s="32"/>
      <c r="H46" s="31"/>
      <c r="I46" s="31"/>
      <c r="J46" s="33"/>
      <c r="K46" s="31"/>
      <c r="L46" s="33"/>
      <c r="M46" s="31"/>
      <c r="N46" s="31"/>
      <c r="O46" s="34"/>
    </row>
    <row r="47" spans="1:15" ht="14.25">
      <c r="A47" s="30"/>
      <c r="B47" s="31"/>
      <c r="C47" s="32"/>
      <c r="D47" s="31"/>
      <c r="E47" s="31"/>
      <c r="F47" s="31"/>
      <c r="G47" s="32"/>
      <c r="H47" s="31"/>
      <c r="I47" s="31"/>
      <c r="J47" s="33"/>
      <c r="K47" s="31"/>
      <c r="L47" s="33"/>
      <c r="M47" s="31"/>
      <c r="N47" s="31"/>
      <c r="O47" s="34"/>
    </row>
    <row r="48" spans="1:15" ht="14.25">
      <c r="A48" s="30"/>
      <c r="B48" s="31"/>
      <c r="C48" s="32"/>
      <c r="D48" s="31"/>
      <c r="E48" s="31"/>
      <c r="F48" s="31"/>
      <c r="G48" s="32"/>
      <c r="H48" s="31"/>
      <c r="I48" s="31"/>
      <c r="J48" s="33"/>
      <c r="K48" s="31"/>
      <c r="L48" s="33"/>
      <c r="M48" s="31"/>
      <c r="N48" s="31"/>
      <c r="O48" s="34"/>
    </row>
    <row r="49" spans="1:15">
      <c r="A49" s="26"/>
      <c r="B49" s="26"/>
      <c r="C49" s="26"/>
      <c r="D49" s="26"/>
      <c r="E49" s="26"/>
      <c r="F49" s="26"/>
      <c r="G49" s="26"/>
      <c r="H49" s="26"/>
      <c r="I49" s="26"/>
      <c r="J49" s="27"/>
      <c r="K49" s="28"/>
      <c r="L49" s="27"/>
      <c r="M49" s="28"/>
      <c r="N49" s="28"/>
      <c r="O49" s="29"/>
    </row>
    <row r="50" spans="1:15">
      <c r="A50" s="26"/>
      <c r="B50" s="26"/>
      <c r="C50" s="26"/>
      <c r="D50" s="26"/>
      <c r="E50" s="26"/>
      <c r="F50" s="26"/>
      <c r="G50" s="26"/>
      <c r="H50" s="26"/>
      <c r="I50" s="26"/>
      <c r="J50" s="27"/>
      <c r="K50" s="28"/>
      <c r="L50" s="27"/>
      <c r="M50" s="28"/>
      <c r="N50" s="28"/>
      <c r="O50" s="29"/>
    </row>
    <row r="51" spans="1:15">
      <c r="A51" s="26"/>
      <c r="B51" s="26"/>
      <c r="C51" s="26"/>
      <c r="D51" s="26"/>
      <c r="E51" s="26"/>
      <c r="F51" s="26"/>
      <c r="G51" s="26"/>
      <c r="H51" s="26"/>
      <c r="I51" s="26"/>
      <c r="J51" s="27"/>
      <c r="K51" s="28"/>
      <c r="L51" s="27"/>
      <c r="M51" s="28"/>
      <c r="N51" s="28"/>
      <c r="O51" s="29"/>
    </row>
    <row r="52" spans="1:15">
      <c r="A52" s="26"/>
      <c r="B52" s="26"/>
      <c r="C52" s="26"/>
      <c r="D52" s="26"/>
      <c r="E52" s="26"/>
      <c r="F52" s="26"/>
      <c r="G52" s="26"/>
      <c r="H52" s="26"/>
      <c r="I52" s="26"/>
      <c r="J52" s="27"/>
      <c r="K52" s="28"/>
      <c r="L52" s="27"/>
      <c r="M52" s="28"/>
      <c r="N52" s="28"/>
      <c r="O52" s="29"/>
    </row>
    <row r="53" spans="1:15">
      <c r="A53" s="26"/>
      <c r="B53" s="26"/>
      <c r="C53" s="26"/>
      <c r="D53" s="26"/>
      <c r="E53" s="26"/>
      <c r="F53" s="26"/>
      <c r="G53" s="26"/>
      <c r="H53" s="26"/>
      <c r="I53" s="26"/>
      <c r="J53" s="27"/>
      <c r="K53" s="28"/>
      <c r="L53" s="27"/>
      <c r="M53" s="28"/>
      <c r="N53" s="28"/>
      <c r="O53" s="29"/>
    </row>
    <row r="54" spans="1:15">
      <c r="A54" s="26"/>
      <c r="B54" s="26"/>
      <c r="C54" s="26"/>
      <c r="D54" s="26"/>
      <c r="E54" s="26"/>
      <c r="F54" s="26"/>
      <c r="G54" s="26"/>
      <c r="H54" s="26"/>
      <c r="I54" s="26"/>
      <c r="J54" s="27"/>
      <c r="K54" s="28"/>
      <c r="L54" s="27"/>
      <c r="M54" s="28"/>
      <c r="N54" s="28"/>
      <c r="O54" s="29"/>
    </row>
    <row r="55" spans="1:15">
      <c r="A55" s="26"/>
      <c r="B55" s="26"/>
      <c r="C55" s="26"/>
      <c r="D55" s="26"/>
      <c r="E55" s="26"/>
      <c r="F55" s="26"/>
      <c r="G55" s="26"/>
      <c r="H55" s="26"/>
      <c r="I55" s="26"/>
      <c r="J55" s="27"/>
      <c r="K55" s="28"/>
      <c r="L55" s="27"/>
      <c r="M55" s="28"/>
      <c r="N55" s="28"/>
      <c r="O55" s="29"/>
    </row>
    <row r="56" spans="1:15">
      <c r="A56" s="26"/>
      <c r="B56" s="26"/>
      <c r="C56" s="26"/>
      <c r="D56" s="26"/>
      <c r="E56" s="26"/>
      <c r="F56" s="26"/>
      <c r="G56" s="26"/>
      <c r="H56" s="26"/>
      <c r="I56" s="26"/>
      <c r="J56" s="27"/>
      <c r="K56" s="28"/>
      <c r="L56" s="27"/>
      <c r="M56" s="28"/>
      <c r="N56" s="28"/>
      <c r="O56" s="29"/>
    </row>
    <row r="57" spans="1:15">
      <c r="A57" s="26"/>
      <c r="B57" s="26"/>
      <c r="C57" s="26"/>
      <c r="D57" s="26"/>
      <c r="E57" s="26"/>
      <c r="F57" s="26"/>
      <c r="G57" s="26"/>
      <c r="H57" s="26"/>
      <c r="I57" s="26"/>
      <c r="J57" s="27"/>
      <c r="K57" s="28"/>
      <c r="L57" s="27"/>
      <c r="M57" s="28"/>
      <c r="N57" s="28"/>
      <c r="O57" s="29"/>
    </row>
    <row r="58" spans="1:15">
      <c r="A58" s="26"/>
      <c r="B58" s="26"/>
      <c r="C58" s="26"/>
      <c r="D58" s="26"/>
      <c r="E58" s="26"/>
      <c r="F58" s="26"/>
      <c r="G58" s="26"/>
      <c r="H58" s="26"/>
      <c r="I58" s="26"/>
      <c r="J58" s="27"/>
      <c r="K58" s="28"/>
      <c r="L58" s="27"/>
      <c r="M58" s="28"/>
      <c r="N58" s="28"/>
      <c r="O58" s="29"/>
    </row>
    <row r="59" spans="1:15">
      <c r="A59" s="26"/>
      <c r="B59" s="26"/>
      <c r="C59" s="26"/>
      <c r="D59" s="26"/>
      <c r="E59" s="26"/>
      <c r="F59" s="26"/>
      <c r="G59" s="26"/>
      <c r="H59" s="26"/>
      <c r="I59" s="26"/>
      <c r="J59" s="27"/>
      <c r="K59" s="28"/>
      <c r="L59" s="27"/>
      <c r="M59" s="28"/>
      <c r="N59" s="28"/>
      <c r="O59" s="29"/>
    </row>
    <row r="60" spans="1:15">
      <c r="A60" s="26"/>
      <c r="B60" s="26"/>
      <c r="C60" s="26"/>
      <c r="D60" s="26"/>
      <c r="E60" s="26"/>
      <c r="F60" s="26"/>
      <c r="G60" s="26"/>
      <c r="H60" s="26"/>
      <c r="I60" s="26"/>
      <c r="J60" s="27"/>
      <c r="K60" s="28"/>
      <c r="L60" s="27"/>
      <c r="M60" s="28"/>
      <c r="N60" s="28"/>
      <c r="O60" s="29"/>
    </row>
    <row r="61" spans="1:15">
      <c r="A61" s="26"/>
      <c r="B61" s="26"/>
      <c r="C61" s="26"/>
      <c r="D61" s="26"/>
      <c r="E61" s="26"/>
      <c r="F61" s="26"/>
      <c r="G61" s="26"/>
      <c r="H61" s="26"/>
      <c r="I61" s="26"/>
      <c r="J61" s="27"/>
      <c r="K61" s="28"/>
      <c r="L61" s="27"/>
      <c r="M61" s="28"/>
      <c r="N61" s="28"/>
      <c r="O61" s="29"/>
    </row>
    <row r="62" spans="1:15">
      <c r="A62" s="26"/>
      <c r="B62" s="26"/>
      <c r="C62" s="26"/>
      <c r="D62" s="26"/>
      <c r="E62" s="26"/>
      <c r="F62" s="26"/>
      <c r="G62" s="26"/>
      <c r="H62" s="26"/>
      <c r="I62" s="26"/>
      <c r="J62" s="27"/>
      <c r="K62" s="28"/>
      <c r="L62" s="27"/>
      <c r="M62" s="28"/>
      <c r="N62" s="28"/>
      <c r="O62" s="29"/>
    </row>
    <row r="63" spans="1:15">
      <c r="A63" s="26"/>
      <c r="B63" s="26"/>
      <c r="C63" s="26"/>
      <c r="D63" s="26"/>
      <c r="E63" s="26"/>
      <c r="F63" s="26"/>
      <c r="G63" s="26"/>
      <c r="H63" s="26"/>
      <c r="I63" s="26"/>
      <c r="J63" s="27"/>
      <c r="K63" s="28"/>
      <c r="L63" s="27"/>
      <c r="M63" s="28"/>
      <c r="N63" s="28"/>
      <c r="O63" s="29"/>
    </row>
    <row r="64" spans="1:15">
      <c r="A64" s="26"/>
      <c r="B64" s="26"/>
      <c r="C64" s="26"/>
      <c r="D64" s="26"/>
      <c r="E64" s="26"/>
      <c r="F64" s="26"/>
      <c r="G64" s="26"/>
      <c r="H64" s="26"/>
      <c r="I64" s="26"/>
      <c r="J64" s="27"/>
      <c r="K64" s="28"/>
      <c r="L64" s="27"/>
      <c r="M64" s="28"/>
      <c r="N64" s="28"/>
      <c r="O64" s="29"/>
    </row>
    <row r="65" spans="1:15">
      <c r="A65" s="26"/>
      <c r="B65" s="26"/>
      <c r="C65" s="26"/>
      <c r="D65" s="26"/>
      <c r="E65" s="26"/>
      <c r="F65" s="26"/>
      <c r="G65" s="26"/>
      <c r="H65" s="26"/>
      <c r="I65" s="26"/>
      <c r="J65" s="27"/>
      <c r="K65" s="28"/>
      <c r="L65" s="27"/>
      <c r="M65" s="28"/>
      <c r="N65" s="28"/>
      <c r="O65" s="29"/>
    </row>
    <row r="66" spans="1:15">
      <c r="A66" s="26"/>
      <c r="B66" s="26"/>
      <c r="C66" s="26"/>
      <c r="D66" s="26"/>
      <c r="E66" s="26"/>
      <c r="F66" s="26"/>
      <c r="G66" s="26"/>
      <c r="H66" s="26"/>
      <c r="I66" s="26"/>
      <c r="J66" s="27"/>
      <c r="K66" s="28"/>
      <c r="L66" s="27"/>
      <c r="M66" s="28"/>
      <c r="N66" s="28"/>
      <c r="O66" s="29"/>
    </row>
    <row r="67" spans="1:15">
      <c r="A67" s="26"/>
      <c r="B67" s="26"/>
      <c r="C67" s="26"/>
      <c r="D67" s="26"/>
      <c r="E67" s="26"/>
      <c r="F67" s="26"/>
      <c r="G67" s="26"/>
      <c r="H67" s="26"/>
      <c r="I67" s="26"/>
      <c r="J67" s="27"/>
      <c r="K67" s="28"/>
      <c r="L67" s="27"/>
      <c r="M67" s="28"/>
      <c r="N67" s="28"/>
      <c r="O67" s="29"/>
    </row>
    <row r="68" spans="1:15">
      <c r="A68" s="26"/>
      <c r="B68" s="26"/>
      <c r="C68" s="26"/>
      <c r="D68" s="26"/>
      <c r="E68" s="26"/>
      <c r="F68" s="26"/>
      <c r="G68" s="26"/>
      <c r="H68" s="26"/>
      <c r="I68" s="26"/>
      <c r="J68" s="27"/>
      <c r="K68" s="28"/>
      <c r="L68" s="27"/>
      <c r="M68" s="28"/>
      <c r="N68" s="28"/>
      <c r="O68" s="29"/>
    </row>
    <row r="69" spans="1:15">
      <c r="A69" s="26"/>
      <c r="B69" s="26"/>
      <c r="C69" s="26"/>
      <c r="D69" s="26"/>
      <c r="E69" s="26"/>
      <c r="F69" s="26"/>
      <c r="G69" s="26"/>
      <c r="H69" s="26"/>
      <c r="I69" s="26"/>
      <c r="J69" s="27"/>
      <c r="K69" s="28"/>
      <c r="L69" s="27"/>
      <c r="M69" s="28"/>
      <c r="N69" s="28"/>
      <c r="O69" s="29"/>
    </row>
    <row r="70" spans="1:15">
      <c r="A70" s="26"/>
      <c r="B70" s="26"/>
      <c r="C70" s="26"/>
      <c r="D70" s="26"/>
      <c r="E70" s="26"/>
      <c r="F70" s="26"/>
      <c r="G70" s="26"/>
      <c r="H70" s="26"/>
      <c r="I70" s="26"/>
      <c r="J70" s="27"/>
      <c r="K70" s="28"/>
      <c r="L70" s="27"/>
      <c r="M70" s="28"/>
      <c r="N70" s="28"/>
      <c r="O70" s="29"/>
    </row>
    <row r="71" spans="1:15">
      <c r="A71" s="26"/>
      <c r="B71" s="26"/>
      <c r="C71" s="26"/>
      <c r="D71" s="26"/>
      <c r="E71" s="26"/>
      <c r="F71" s="26"/>
      <c r="G71" s="26"/>
      <c r="H71" s="26"/>
      <c r="I71" s="26"/>
      <c r="J71" s="27"/>
      <c r="K71" s="28"/>
      <c r="L71" s="27"/>
      <c r="M71" s="28"/>
      <c r="N71" s="28"/>
      <c r="O71" s="29"/>
    </row>
    <row r="72" spans="1:15">
      <c r="A72" s="26"/>
      <c r="B72" s="26"/>
      <c r="C72" s="26"/>
      <c r="D72" s="26"/>
      <c r="E72" s="26"/>
      <c r="F72" s="26"/>
      <c r="G72" s="26"/>
      <c r="H72" s="26"/>
      <c r="I72" s="26"/>
      <c r="J72" s="27"/>
      <c r="K72" s="28"/>
      <c r="L72" s="27"/>
      <c r="M72" s="28"/>
      <c r="N72" s="28"/>
      <c r="O72" s="29"/>
    </row>
    <row r="73" spans="1:15">
      <c r="A73" s="26"/>
      <c r="B73" s="26"/>
      <c r="C73" s="26"/>
      <c r="D73" s="26"/>
      <c r="E73" s="26"/>
      <c r="F73" s="26"/>
      <c r="G73" s="26"/>
      <c r="H73" s="26"/>
      <c r="I73" s="26"/>
      <c r="J73" s="27"/>
      <c r="K73" s="28"/>
      <c r="L73" s="27"/>
      <c r="M73" s="28"/>
      <c r="N73" s="28"/>
      <c r="O73" s="29"/>
    </row>
    <row r="74" spans="1:15">
      <c r="A74" s="26"/>
      <c r="B74" s="26"/>
      <c r="C74" s="26"/>
      <c r="D74" s="26"/>
      <c r="E74" s="26"/>
      <c r="F74" s="26"/>
      <c r="G74" s="26"/>
      <c r="H74" s="26"/>
      <c r="I74" s="26"/>
      <c r="J74" s="27"/>
      <c r="K74" s="28"/>
      <c r="L74" s="27"/>
      <c r="M74" s="28"/>
      <c r="N74" s="28"/>
      <c r="O74" s="29"/>
    </row>
    <row r="75" spans="1:15">
      <c r="A75" s="26"/>
      <c r="B75" s="26"/>
      <c r="C75" s="26"/>
      <c r="D75" s="26"/>
      <c r="E75" s="26"/>
      <c r="F75" s="26"/>
      <c r="G75" s="26"/>
      <c r="H75" s="26"/>
      <c r="I75" s="26"/>
      <c r="J75" s="27"/>
      <c r="K75" s="28"/>
      <c r="L75" s="27"/>
      <c r="M75" s="28"/>
      <c r="N75" s="28"/>
      <c r="O75" s="29"/>
    </row>
    <row r="76" spans="1:15">
      <c r="A76" s="26"/>
      <c r="B76" s="26"/>
      <c r="C76" s="26"/>
      <c r="D76" s="26"/>
      <c r="E76" s="26"/>
      <c r="F76" s="26"/>
      <c r="G76" s="26"/>
      <c r="H76" s="26"/>
      <c r="I76" s="26"/>
      <c r="J76" s="27"/>
      <c r="K76" s="28"/>
      <c r="L76" s="27"/>
      <c r="M76" s="28"/>
      <c r="N76" s="28"/>
      <c r="O76" s="29"/>
    </row>
    <row r="77" spans="1:15">
      <c r="A77" s="26"/>
      <c r="B77" s="26"/>
      <c r="C77" s="26"/>
      <c r="D77" s="26"/>
      <c r="E77" s="26"/>
      <c r="F77" s="26"/>
      <c r="G77" s="26"/>
      <c r="H77" s="26"/>
      <c r="I77" s="26"/>
      <c r="J77" s="27"/>
      <c r="K77" s="28"/>
      <c r="L77" s="27"/>
      <c r="M77" s="28"/>
      <c r="N77" s="28"/>
      <c r="O77" s="29"/>
    </row>
    <row r="78" spans="1:15">
      <c r="A78" s="26"/>
      <c r="B78" s="26"/>
      <c r="C78" s="26"/>
      <c r="D78" s="26"/>
      <c r="E78" s="26"/>
      <c r="F78" s="26"/>
      <c r="G78" s="26"/>
      <c r="H78" s="26"/>
      <c r="I78" s="26"/>
      <c r="J78" s="27"/>
      <c r="K78" s="28"/>
      <c r="L78" s="27"/>
      <c r="M78" s="28"/>
      <c r="N78" s="28"/>
      <c r="O78" s="29"/>
    </row>
    <row r="79" spans="1:15">
      <c r="A79" s="26"/>
      <c r="B79" s="26"/>
      <c r="C79" s="26"/>
      <c r="D79" s="26"/>
      <c r="E79" s="26"/>
      <c r="F79" s="26"/>
      <c r="G79" s="26"/>
      <c r="H79" s="26"/>
      <c r="I79" s="26"/>
      <c r="J79" s="27"/>
      <c r="K79" s="28"/>
      <c r="L79" s="27"/>
      <c r="M79" s="28"/>
      <c r="N79" s="28"/>
      <c r="O79" s="29"/>
    </row>
    <row r="80" spans="1:15">
      <c r="A80" s="26"/>
      <c r="B80" s="26"/>
      <c r="C80" s="26"/>
      <c r="D80" s="26"/>
      <c r="E80" s="26"/>
      <c r="F80" s="26"/>
      <c r="G80" s="26"/>
      <c r="H80" s="26"/>
      <c r="I80" s="26"/>
      <c r="J80" s="27"/>
      <c r="K80" s="28"/>
      <c r="L80" s="27"/>
      <c r="M80" s="28"/>
      <c r="N80" s="28"/>
      <c r="O80" s="29"/>
    </row>
    <row r="81" spans="1:15">
      <c r="A81" s="26"/>
      <c r="B81" s="26"/>
      <c r="C81" s="26"/>
      <c r="D81" s="26"/>
      <c r="E81" s="26"/>
      <c r="F81" s="26"/>
      <c r="G81" s="26"/>
      <c r="H81" s="26"/>
      <c r="I81" s="26"/>
      <c r="J81" s="27"/>
      <c r="K81" s="28"/>
      <c r="L81" s="27"/>
      <c r="M81" s="28"/>
      <c r="N81" s="28"/>
      <c r="O81" s="29"/>
    </row>
    <row r="82" spans="1:15">
      <c r="A82" s="26"/>
      <c r="B82" s="26"/>
      <c r="C82" s="26"/>
      <c r="D82" s="26"/>
      <c r="E82" s="26"/>
      <c r="F82" s="26"/>
      <c r="G82" s="26"/>
      <c r="H82" s="26"/>
      <c r="I82" s="26"/>
      <c r="J82" s="27"/>
      <c r="K82" s="28"/>
      <c r="L82" s="27"/>
      <c r="M82" s="28"/>
      <c r="N82" s="28"/>
      <c r="O82" s="29"/>
    </row>
    <row r="83" spans="1:15">
      <c r="A83" s="26"/>
      <c r="B83" s="26"/>
      <c r="C83" s="26"/>
      <c r="D83" s="26"/>
      <c r="E83" s="26"/>
      <c r="F83" s="26"/>
      <c r="G83" s="26"/>
      <c r="H83" s="26"/>
      <c r="I83" s="26"/>
      <c r="J83" s="27"/>
      <c r="K83" s="28"/>
      <c r="L83" s="27"/>
      <c r="M83" s="28"/>
      <c r="N83" s="28"/>
      <c r="O83" s="29"/>
    </row>
    <row r="84" spans="1:15">
      <c r="A84" s="26"/>
      <c r="B84" s="26"/>
      <c r="C84" s="26"/>
      <c r="D84" s="26"/>
      <c r="E84" s="26"/>
      <c r="F84" s="26"/>
      <c r="G84" s="26"/>
      <c r="H84" s="26"/>
      <c r="I84" s="26"/>
      <c r="J84" s="27"/>
      <c r="K84" s="28"/>
      <c r="L84" s="27"/>
      <c r="M84" s="28"/>
      <c r="N84" s="28"/>
      <c r="O84" s="29"/>
    </row>
    <row r="85" spans="1:15">
      <c r="A85" s="26"/>
      <c r="B85" s="26"/>
      <c r="C85" s="26"/>
      <c r="D85" s="26"/>
      <c r="E85" s="26"/>
      <c r="F85" s="26"/>
      <c r="G85" s="26"/>
      <c r="H85" s="26"/>
      <c r="I85" s="26"/>
      <c r="J85" s="27"/>
      <c r="K85" s="28"/>
      <c r="L85" s="27"/>
      <c r="M85" s="28"/>
      <c r="N85" s="28"/>
      <c r="O85" s="29"/>
    </row>
    <row r="86" spans="1:15">
      <c r="A86" s="26"/>
      <c r="B86" s="26"/>
      <c r="C86" s="26"/>
      <c r="D86" s="26"/>
      <c r="E86" s="26"/>
      <c r="F86" s="26"/>
      <c r="G86" s="26"/>
      <c r="H86" s="26"/>
      <c r="I86" s="26"/>
      <c r="J86" s="27"/>
      <c r="K86" s="28"/>
      <c r="L86" s="27"/>
      <c r="M86" s="28"/>
      <c r="N86" s="28"/>
      <c r="O86" s="29"/>
    </row>
    <row r="87" spans="1:15">
      <c r="A87" s="26"/>
      <c r="B87" s="26"/>
      <c r="C87" s="26"/>
      <c r="D87" s="26"/>
      <c r="E87" s="26"/>
      <c r="F87" s="26"/>
      <c r="G87" s="26"/>
      <c r="H87" s="26"/>
      <c r="I87" s="26"/>
      <c r="J87" s="27"/>
      <c r="K87" s="28"/>
      <c r="L87" s="27"/>
      <c r="M87" s="28"/>
      <c r="N87" s="28"/>
      <c r="O87" s="29"/>
    </row>
    <row r="88" spans="1:15">
      <c r="A88" s="26"/>
      <c r="B88" s="26"/>
      <c r="C88" s="26"/>
      <c r="D88" s="26"/>
      <c r="E88" s="26"/>
      <c r="F88" s="26"/>
      <c r="G88" s="26"/>
      <c r="H88" s="26"/>
      <c r="I88" s="26"/>
      <c r="J88" s="27"/>
      <c r="K88" s="28"/>
      <c r="L88" s="27"/>
      <c r="M88" s="28"/>
      <c r="N88" s="28"/>
      <c r="O88" s="29"/>
    </row>
    <row r="89" spans="1:15">
      <c r="A89" s="26"/>
      <c r="B89" s="26"/>
      <c r="C89" s="26"/>
      <c r="D89" s="26"/>
      <c r="E89" s="26"/>
      <c r="F89" s="26"/>
      <c r="G89" s="26"/>
      <c r="H89" s="26"/>
      <c r="I89" s="26"/>
      <c r="J89" s="27"/>
      <c r="K89" s="28"/>
      <c r="L89" s="27"/>
      <c r="M89" s="28"/>
      <c r="N89" s="28"/>
      <c r="O89" s="2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000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14" customWidth="1"/>
    <col min="2" max="3" width="12" customWidth="1"/>
    <col min="4" max="4" width="10" customWidth="1"/>
    <col min="5" max="5" width="60" customWidth="1"/>
    <col min="6" max="6" width="12" customWidth="1"/>
    <col min="7" max="7" width="10" customWidth="1"/>
    <col min="8" max="8" width="16" customWidth="1"/>
  </cols>
  <sheetData>
    <row r="1" spans="1:8">
      <c r="A1" s="22" t="s">
        <v>21</v>
      </c>
      <c r="B1" s="22" t="s">
        <v>15</v>
      </c>
      <c r="C1" s="22" t="s">
        <v>17</v>
      </c>
      <c r="D1" s="22" t="s">
        <v>22</v>
      </c>
      <c r="E1" s="22" t="s">
        <v>23</v>
      </c>
      <c r="F1" s="22" t="s">
        <v>24</v>
      </c>
      <c r="G1" s="22" t="s">
        <v>25</v>
      </c>
      <c r="H1" s="22" t="s">
        <v>26</v>
      </c>
    </row>
    <row r="2" spans="1:8">
      <c r="A2" s="25">
        <f>IF('Clockify Raw'!J2="","",'Clockify Raw'!J2)</f>
        <v>46213</v>
      </c>
      <c r="B2" s="23">
        <f>IF('Clockify Raw'!K2="","",VALUE('Clockify Raw'!K2))</f>
        <v>2.6673611111111111</v>
      </c>
      <c r="C2" s="23">
        <f>IF('Clockify Raw'!M2="","",VALUE('Clockify Raw'!M2))</f>
        <v>2.723611111111111</v>
      </c>
      <c r="D2" t="str">
        <f>IF('Clockify Raw'!A2="","",IF(LOWER('Clockify Raw'!A2)="break","Break","Work"))</f>
        <v>Work</v>
      </c>
      <c r="E2" t="str">
        <f>IF('Clockify Raw'!A2="","",IF(LOWER('Clockify Raw'!A2)="break","Break",IF('Clockify Raw'!C2&lt;&gt;"",'Clockify Raw'!C2,IF('Clockify Raw'!D2&lt;&gt;"",'Clockify Raw'!D2,'Clockify Raw'!A2))))</f>
        <v>4G Wireless Extention</v>
      </c>
      <c r="F2" s="24">
        <f>IF('Clockify Raw'!O2="","",'Clockify Raw'!O2/24)</f>
        <v>5.6250000000000001E-2</v>
      </c>
      <c r="G2">
        <f>IF(A2="","",COUNTIFS($A$2:$A$1000,A2,$B$2:$B$1000,"&lt;"&amp;B2)+COUNTIFS($A$2:A2,A2,$B$2:B2,B2))</f>
        <v>1</v>
      </c>
      <c r="H2" t="str">
        <f t="shared" ref="H2:H65" si="0">IF(A2="","",TEXT(A2,"yyyymmdd")&amp;"|"&amp;G2)</f>
        <v>20260710|1</v>
      </c>
    </row>
    <row r="3" spans="1:8">
      <c r="A3" s="25">
        <f>IF('Clockify Raw'!J3="","",'Clockify Raw'!J3)</f>
        <v>46209</v>
      </c>
      <c r="B3" s="23">
        <f>IF('Clockify Raw'!K3="","",VALUE('Clockify Raw'!K3))</f>
        <v>2.8826388888888888</v>
      </c>
      <c r="C3" s="23">
        <f>IF('Clockify Raw'!M3="","",VALUE('Clockify Raw'!M3))</f>
        <v>2.8930555555555557</v>
      </c>
      <c r="D3" t="str">
        <f>IF('Clockify Raw'!A3="","",IF(LOWER('Clockify Raw'!A3)="break","Break","Work"))</f>
        <v>Work</v>
      </c>
      <c r="E3" t="str">
        <f>IF('Clockify Raw'!A3="","",IF(LOWER('Clockify Raw'!A3)="break","Break",IF('Clockify Raw'!C3&lt;&gt;"",'Clockify Raw'!C3,IF('Clockify Raw'!D3&lt;&gt;"",'Clockify Raw'!D3,'Clockify Raw'!A3))))</f>
        <v>Newsletter Upload ATM Security Threats 2026</v>
      </c>
      <c r="F3" s="24">
        <f>IF('Clockify Raw'!O3="","",'Clockify Raw'!O3/24)</f>
        <v>1.0416666666666666E-2</v>
      </c>
      <c r="G3">
        <f>IF(A3="","",COUNTIFS($A$2:$A$1000,A3,$B$2:$B$1000,"&lt;"&amp;B3)+COUNTIFS($A$2:A3,A3,$B$2:B3,B3))</f>
        <v>2</v>
      </c>
      <c r="H3" t="str">
        <f t="shared" si="0"/>
        <v>20260706|2</v>
      </c>
    </row>
    <row r="4" spans="1:8">
      <c r="A4" s="25">
        <f>IF('Clockify Raw'!J4="","",'Clockify Raw'!J4)</f>
        <v>46209</v>
      </c>
      <c r="B4" s="23">
        <f>IF('Clockify Raw'!K4="","",VALUE('Clockify Raw'!K4))</f>
        <v>2.6666666666666665</v>
      </c>
      <c r="C4" s="23">
        <f>IF('Clockify Raw'!M4="","",VALUE('Clockify Raw'!M4))</f>
        <v>2.7972222222222221</v>
      </c>
      <c r="D4" t="str">
        <f>IF('Clockify Raw'!A4="","",IF(LOWER('Clockify Raw'!A4)="break","Break","Work"))</f>
        <v>Work</v>
      </c>
      <c r="E4" t="str">
        <f>IF('Clockify Raw'!A4="","",IF(LOWER('Clockify Raw'!A4)="break","Break",IF('Clockify Raw'!C4&lt;&gt;"",'Clockify Raw'!C4,IF('Clockify Raw'!D4&lt;&gt;"",'Clockify Raw'!D4,'Clockify Raw'!A4))))</f>
        <v>Article ATM Security Threats 2026 Publish on Website, Marketplace, LinkedIn Facebook</v>
      </c>
      <c r="F4" s="24">
        <f>IF('Clockify Raw'!O4="","",'Clockify Raw'!O4/24)</f>
        <v>0.13055555555555556</v>
      </c>
      <c r="G4">
        <f>IF(A4="","",COUNTIFS($A$2:$A$1000,A4,$B$2:$B$1000,"&lt;"&amp;B4)+COUNTIFS($A$2:A4,A4,$B$2:B4,B4))</f>
        <v>1</v>
      </c>
      <c r="H4" t="str">
        <f t="shared" si="0"/>
        <v>20260706|1</v>
      </c>
    </row>
    <row r="5" spans="1:8">
      <c r="A5" s="25">
        <f>IF('Clockify Raw'!J5="","",'Clockify Raw'!J5)</f>
        <v>46204</v>
      </c>
      <c r="B5" s="23">
        <f>IF('Clockify Raw'!K5="","",VALUE('Clockify Raw'!K5))</f>
        <v>2.901388888888889</v>
      </c>
      <c r="C5" s="23">
        <f>IF('Clockify Raw'!M5="","",VALUE('Clockify Raw'!M5))</f>
        <v>2.9187500000000002</v>
      </c>
      <c r="D5" t="str">
        <f>IF('Clockify Raw'!A5="","",IF(LOWER('Clockify Raw'!A5)="break","Break","Work"))</f>
        <v>Work</v>
      </c>
      <c r="E5" t="str">
        <f>IF('Clockify Raw'!A5="","",IF(LOWER('Clockify Raw'!A5)="break","Break",IF('Clockify Raw'!C5&lt;&gt;"",'Clockify Raw'!C5,IF('Clockify Raw'!D5&lt;&gt;"",'Clockify Raw'!D5,'Clockify Raw'!A5))))</f>
        <v>Newsletter Independance Day</v>
      </c>
      <c r="F5" s="24">
        <f>IF('Clockify Raw'!O5="","",'Clockify Raw'!O5/24)</f>
        <v>1.7361111111111112E-2</v>
      </c>
      <c r="G5">
        <f>IF(A5="","",COUNTIFS($A$2:$A$1000,A5,$B$2:$B$1000,"&lt;"&amp;B5)+COUNTIFS($A$2:A5,A5,$B$2:B5,B5))</f>
        <v>1</v>
      </c>
      <c r="H5" t="str">
        <f t="shared" si="0"/>
        <v>20260701|1</v>
      </c>
    </row>
    <row r="6" spans="1:8">
      <c r="A6" s="25" t="str">
        <f>IF('Clockify Raw'!J6="","",'Clockify Raw'!J6)</f>
        <v/>
      </c>
      <c r="B6" s="23" t="str">
        <f>IF('Clockify Raw'!K6="","",VALUE('Clockify Raw'!K6))</f>
        <v/>
      </c>
      <c r="C6" s="23" t="str">
        <f>IF('Clockify Raw'!M6="","",VALUE('Clockify Raw'!M6))</f>
        <v/>
      </c>
      <c r="D6" t="str">
        <f>IF('Clockify Raw'!A6="","",IF(LOWER('Clockify Raw'!A6)="break","Break","Work"))</f>
        <v/>
      </c>
      <c r="E6" t="str">
        <f>IF('Clockify Raw'!A6="","",IF(LOWER('Clockify Raw'!A6)="break","Break",IF('Clockify Raw'!C6&lt;&gt;"",'Clockify Raw'!C6,IF('Clockify Raw'!D6&lt;&gt;"",'Clockify Raw'!D6,'Clockify Raw'!A6))))</f>
        <v/>
      </c>
      <c r="F6" s="24" t="str">
        <f>IF('Clockify Raw'!O6="","",'Clockify Raw'!O6/24)</f>
        <v/>
      </c>
      <c r="G6" t="str">
        <f>IF(A6="","",COUNTIFS($A$2:$A$1000,A6,$B$2:$B$1000,"&lt;"&amp;B6)+COUNTIFS($A$2:A6,A6,$B$2:B6,B6))</f>
        <v/>
      </c>
      <c r="H6" t="str">
        <f t="shared" si="0"/>
        <v/>
      </c>
    </row>
    <row r="7" spans="1:8">
      <c r="A7" s="25" t="str">
        <f>IF('Clockify Raw'!J7="","",'Clockify Raw'!J7)</f>
        <v/>
      </c>
      <c r="B7" s="23" t="str">
        <f>IF('Clockify Raw'!K7="","",VALUE('Clockify Raw'!K7))</f>
        <v/>
      </c>
      <c r="C7" s="23" t="str">
        <f>IF('Clockify Raw'!M7="","",VALUE('Clockify Raw'!M7))</f>
        <v/>
      </c>
      <c r="D7" t="str">
        <f>IF('Clockify Raw'!A7="","",IF(LOWER('Clockify Raw'!A7)="break","Break","Work"))</f>
        <v/>
      </c>
      <c r="E7" t="str">
        <f>IF('Clockify Raw'!A7="","",IF(LOWER('Clockify Raw'!A7)="break","Break",IF('Clockify Raw'!C7&lt;&gt;"",'Clockify Raw'!C7,IF('Clockify Raw'!D7&lt;&gt;"",'Clockify Raw'!D7,'Clockify Raw'!A7))))</f>
        <v/>
      </c>
      <c r="F7" s="24" t="str">
        <f>IF('Clockify Raw'!O7="","",'Clockify Raw'!O7/24)</f>
        <v/>
      </c>
      <c r="G7" t="str">
        <f>IF(A7="","",COUNTIFS($A$2:$A$1000,A7,$B$2:$B$1000,"&lt;"&amp;B7)+COUNTIFS($A$2:A7,A7,$B$2:B7,B7))</f>
        <v/>
      </c>
      <c r="H7" t="str">
        <f t="shared" si="0"/>
        <v/>
      </c>
    </row>
    <row r="8" spans="1:8">
      <c r="A8" s="25" t="str">
        <f>IF('Clockify Raw'!J8="","",'Clockify Raw'!J8)</f>
        <v/>
      </c>
      <c r="B8" s="23" t="str">
        <f>IF('Clockify Raw'!K8="","",VALUE('Clockify Raw'!K8))</f>
        <v/>
      </c>
      <c r="C8" s="23" t="str">
        <f>IF('Clockify Raw'!M8="","",VALUE('Clockify Raw'!M8))</f>
        <v/>
      </c>
      <c r="D8" t="str">
        <f>IF('Clockify Raw'!A8="","",IF(LOWER('Clockify Raw'!A8)="break","Break","Work"))</f>
        <v/>
      </c>
      <c r="E8" t="str">
        <f>IF('Clockify Raw'!A8="","",IF(LOWER('Clockify Raw'!A8)="break","Break",IF('Clockify Raw'!C8&lt;&gt;"",'Clockify Raw'!C8,IF('Clockify Raw'!D8&lt;&gt;"",'Clockify Raw'!D8,'Clockify Raw'!A8))))</f>
        <v/>
      </c>
      <c r="F8" s="24" t="str">
        <f>IF('Clockify Raw'!O8="","",'Clockify Raw'!O8/24)</f>
        <v/>
      </c>
      <c r="G8" t="str">
        <f>IF(A8="","",COUNTIFS($A$2:$A$1000,A8,$B$2:$B$1000,"&lt;"&amp;B8)+COUNTIFS($A$2:A8,A8,$B$2:B8,B8))</f>
        <v/>
      </c>
      <c r="H8" t="str">
        <f t="shared" si="0"/>
        <v/>
      </c>
    </row>
    <row r="9" spans="1:8">
      <c r="A9" s="25" t="str">
        <f>IF('Clockify Raw'!J9="","",'Clockify Raw'!J9)</f>
        <v/>
      </c>
      <c r="B9" s="23" t="str">
        <f>IF('Clockify Raw'!K9="","",VALUE('Clockify Raw'!K9))</f>
        <v/>
      </c>
      <c r="C9" s="23" t="str">
        <f>IF('Clockify Raw'!M9="","",VALUE('Clockify Raw'!M9))</f>
        <v/>
      </c>
      <c r="D9" t="str">
        <f>IF('Clockify Raw'!A9="","",IF(LOWER('Clockify Raw'!A9)="break","Break","Work"))</f>
        <v/>
      </c>
      <c r="E9" t="str">
        <f>IF('Clockify Raw'!A9="","",IF(LOWER('Clockify Raw'!A9)="break","Break",IF('Clockify Raw'!C9&lt;&gt;"",'Clockify Raw'!C9,IF('Clockify Raw'!D9&lt;&gt;"",'Clockify Raw'!D9,'Clockify Raw'!A9))))</f>
        <v/>
      </c>
      <c r="F9" s="24" t="str">
        <f>IF('Clockify Raw'!O9="","",'Clockify Raw'!O9/24)</f>
        <v/>
      </c>
      <c r="G9" t="str">
        <f>IF(A9="","",COUNTIFS($A$2:$A$1000,A9,$B$2:$B$1000,"&lt;"&amp;B9)+COUNTIFS($A$2:A9,A9,$B$2:B9,B9))</f>
        <v/>
      </c>
      <c r="H9" t="str">
        <f t="shared" si="0"/>
        <v/>
      </c>
    </row>
    <row r="10" spans="1:8">
      <c r="A10" s="25" t="str">
        <f>IF('Clockify Raw'!J10="","",'Clockify Raw'!J10)</f>
        <v/>
      </c>
      <c r="B10" s="23" t="str">
        <f>IF('Clockify Raw'!K10="","",VALUE('Clockify Raw'!K10))</f>
        <v/>
      </c>
      <c r="C10" s="23" t="str">
        <f>IF('Clockify Raw'!M10="","",VALUE('Clockify Raw'!M10))</f>
        <v/>
      </c>
      <c r="D10" t="str">
        <f>IF('Clockify Raw'!A10="","",IF(LOWER('Clockify Raw'!A10)="break","Break","Work"))</f>
        <v/>
      </c>
      <c r="E10" t="str">
        <f>IF('Clockify Raw'!A10="","",IF(LOWER('Clockify Raw'!A10)="break","Break",IF('Clockify Raw'!C10&lt;&gt;"",'Clockify Raw'!C10,IF('Clockify Raw'!D10&lt;&gt;"",'Clockify Raw'!D10,'Clockify Raw'!A10))))</f>
        <v/>
      </c>
      <c r="F10" s="24" t="str">
        <f>IF('Clockify Raw'!O10="","",'Clockify Raw'!O10/24)</f>
        <v/>
      </c>
      <c r="G10" t="str">
        <f>IF(A10="","",COUNTIFS($A$2:$A$1000,A10,$B$2:$B$1000,"&lt;"&amp;B10)+COUNTIFS($A$2:A10,A10,$B$2:B10,B10))</f>
        <v/>
      </c>
      <c r="H10" t="str">
        <f t="shared" si="0"/>
        <v/>
      </c>
    </row>
    <row r="11" spans="1:8">
      <c r="A11" s="25" t="str">
        <f>IF('Clockify Raw'!J11="","",'Clockify Raw'!J11)</f>
        <v/>
      </c>
      <c r="B11" s="23" t="str">
        <f>IF('Clockify Raw'!K11="","",VALUE('Clockify Raw'!K11))</f>
        <v/>
      </c>
      <c r="C11" s="23" t="str">
        <f>IF('Clockify Raw'!M11="","",VALUE('Clockify Raw'!M11))</f>
        <v/>
      </c>
      <c r="D11" t="str">
        <f>IF('Clockify Raw'!A11="","",IF(LOWER('Clockify Raw'!A11)="break","Break","Work"))</f>
        <v/>
      </c>
      <c r="E11" t="str">
        <f>IF('Clockify Raw'!A11="","",IF(LOWER('Clockify Raw'!A11)="break","Break",IF('Clockify Raw'!C11&lt;&gt;"",'Clockify Raw'!C11,IF('Clockify Raw'!D11&lt;&gt;"",'Clockify Raw'!D11,'Clockify Raw'!A11))))</f>
        <v/>
      </c>
      <c r="F11" s="24" t="str">
        <f>IF('Clockify Raw'!O11="","",'Clockify Raw'!O11/24)</f>
        <v/>
      </c>
      <c r="G11" t="str">
        <f>IF(A11="","",COUNTIFS($A$2:$A$1000,A11,$B$2:$B$1000,"&lt;"&amp;B11)+COUNTIFS($A$2:A11,A11,$B$2:B11,B11))</f>
        <v/>
      </c>
      <c r="H11" t="str">
        <f t="shared" si="0"/>
        <v/>
      </c>
    </row>
    <row r="12" spans="1:8">
      <c r="A12" s="25" t="str">
        <f>IF('Clockify Raw'!J12="","",'Clockify Raw'!J12)</f>
        <v/>
      </c>
      <c r="B12" s="23" t="str">
        <f>IF('Clockify Raw'!K12="","",VALUE('Clockify Raw'!K12))</f>
        <v/>
      </c>
      <c r="C12" s="23" t="str">
        <f>IF('Clockify Raw'!M12="","",VALUE('Clockify Raw'!M12))</f>
        <v/>
      </c>
      <c r="D12" t="str">
        <f>IF('Clockify Raw'!A12="","",IF(LOWER('Clockify Raw'!A12)="break","Break","Work"))</f>
        <v/>
      </c>
      <c r="E12" t="str">
        <f>IF('Clockify Raw'!A12="","",IF(LOWER('Clockify Raw'!A12)="break","Break",IF('Clockify Raw'!C12&lt;&gt;"",'Clockify Raw'!C12,IF('Clockify Raw'!D12&lt;&gt;"",'Clockify Raw'!D12,'Clockify Raw'!A12))))</f>
        <v/>
      </c>
      <c r="F12" s="24" t="str">
        <f>IF('Clockify Raw'!O12="","",'Clockify Raw'!O12/24)</f>
        <v/>
      </c>
      <c r="G12" t="str">
        <f>IF(A12="","",COUNTIFS($A$2:$A$1000,A12,$B$2:$B$1000,"&lt;"&amp;B12)+COUNTIFS($A$2:A12,A12,$B$2:B12,B12))</f>
        <v/>
      </c>
      <c r="H12" t="str">
        <f t="shared" si="0"/>
        <v/>
      </c>
    </row>
    <row r="13" spans="1:8">
      <c r="A13" s="25" t="str">
        <f>IF('Clockify Raw'!J13="","",'Clockify Raw'!J13)</f>
        <v/>
      </c>
      <c r="B13" s="23" t="str">
        <f>IF('Clockify Raw'!K13="","",VALUE('Clockify Raw'!K13))</f>
        <v/>
      </c>
      <c r="C13" s="23" t="str">
        <f>IF('Clockify Raw'!M13="","",VALUE('Clockify Raw'!M13))</f>
        <v/>
      </c>
      <c r="D13" t="str">
        <f>IF('Clockify Raw'!A13="","",IF(LOWER('Clockify Raw'!A13)="break","Break","Work"))</f>
        <v/>
      </c>
      <c r="E13" t="str">
        <f>IF('Clockify Raw'!A13="","",IF(LOWER('Clockify Raw'!A13)="break","Break",IF('Clockify Raw'!C13&lt;&gt;"",'Clockify Raw'!C13,IF('Clockify Raw'!D13&lt;&gt;"",'Clockify Raw'!D13,'Clockify Raw'!A13))))</f>
        <v/>
      </c>
      <c r="F13" s="24" t="str">
        <f>IF('Clockify Raw'!O13="","",'Clockify Raw'!O13/24)</f>
        <v/>
      </c>
      <c r="G13" t="str">
        <f>IF(A13="","",COUNTIFS($A$2:$A$1000,A13,$B$2:$B$1000,"&lt;"&amp;B13)+COUNTIFS($A$2:A13,A13,$B$2:B13,B13))</f>
        <v/>
      </c>
      <c r="H13" t="str">
        <f t="shared" si="0"/>
        <v/>
      </c>
    </row>
    <row r="14" spans="1:8">
      <c r="A14" s="25" t="str">
        <f>IF('Clockify Raw'!J14="","",'Clockify Raw'!J14)</f>
        <v/>
      </c>
      <c r="B14" s="23" t="str">
        <f>IF('Clockify Raw'!K14="","",VALUE('Clockify Raw'!K14))</f>
        <v/>
      </c>
      <c r="C14" s="23" t="str">
        <f>IF('Clockify Raw'!M14="","",VALUE('Clockify Raw'!M14))</f>
        <v/>
      </c>
      <c r="D14" t="str">
        <f>IF('Clockify Raw'!A14="","",IF(LOWER('Clockify Raw'!A14)="break","Break","Work"))</f>
        <v/>
      </c>
      <c r="E14" t="str">
        <f>IF('Clockify Raw'!A14="","",IF(LOWER('Clockify Raw'!A14)="break","Break",IF('Clockify Raw'!C14&lt;&gt;"",'Clockify Raw'!C14,IF('Clockify Raw'!D14&lt;&gt;"",'Clockify Raw'!D14,'Clockify Raw'!A14))))</f>
        <v/>
      </c>
      <c r="F14" s="24" t="str">
        <f>IF('Clockify Raw'!O14="","",'Clockify Raw'!O14/24)</f>
        <v/>
      </c>
      <c r="G14" t="str">
        <f>IF(A14="","",COUNTIFS($A$2:$A$1000,A14,$B$2:$B$1000,"&lt;"&amp;B14)+COUNTIFS($A$2:A14,A14,$B$2:B14,B14))</f>
        <v/>
      </c>
      <c r="H14" t="str">
        <f t="shared" si="0"/>
        <v/>
      </c>
    </row>
    <row r="15" spans="1:8">
      <c r="A15" s="25" t="str">
        <f>IF('Clockify Raw'!J15="","",'Clockify Raw'!J15)</f>
        <v/>
      </c>
      <c r="B15" s="23" t="str">
        <f>IF('Clockify Raw'!K15="","",VALUE('Clockify Raw'!K15))</f>
        <v/>
      </c>
      <c r="C15" s="23" t="str">
        <f>IF('Clockify Raw'!M15="","",VALUE('Clockify Raw'!M15))</f>
        <v/>
      </c>
      <c r="D15" t="str">
        <f>IF('Clockify Raw'!A15="","",IF(LOWER('Clockify Raw'!A15)="break","Break","Work"))</f>
        <v/>
      </c>
      <c r="E15" t="str">
        <f>IF('Clockify Raw'!A15="","",IF(LOWER('Clockify Raw'!A15)="break","Break",IF('Clockify Raw'!C15&lt;&gt;"",'Clockify Raw'!C15,IF('Clockify Raw'!D15&lt;&gt;"",'Clockify Raw'!D15,'Clockify Raw'!A15))))</f>
        <v/>
      </c>
      <c r="F15" s="24" t="str">
        <f>IF('Clockify Raw'!O15="","",'Clockify Raw'!O15/24)</f>
        <v/>
      </c>
      <c r="G15" t="str">
        <f>IF(A15="","",COUNTIFS($A$2:$A$1000,A15,$B$2:$B$1000,"&lt;"&amp;B15)+COUNTIFS($A$2:A15,A15,$B$2:B15,B15))</f>
        <v/>
      </c>
      <c r="H15" t="str">
        <f t="shared" si="0"/>
        <v/>
      </c>
    </row>
    <row r="16" spans="1:8">
      <c r="A16" s="25" t="str">
        <f>IF('Clockify Raw'!J16="","",'Clockify Raw'!J16)</f>
        <v/>
      </c>
      <c r="B16" s="23" t="str">
        <f>IF('Clockify Raw'!K16="","",VALUE('Clockify Raw'!K16))</f>
        <v/>
      </c>
      <c r="C16" s="23" t="str">
        <f>IF('Clockify Raw'!M16="","",VALUE('Clockify Raw'!M16))</f>
        <v/>
      </c>
      <c r="D16" t="str">
        <f>IF('Clockify Raw'!A16="","",IF(LOWER('Clockify Raw'!A16)="break","Break","Work"))</f>
        <v/>
      </c>
      <c r="E16" t="str">
        <f>IF('Clockify Raw'!A16="","",IF(LOWER('Clockify Raw'!A16)="break","Break",IF('Clockify Raw'!C16&lt;&gt;"",'Clockify Raw'!C16,IF('Clockify Raw'!D16&lt;&gt;"",'Clockify Raw'!D16,'Clockify Raw'!A16))))</f>
        <v/>
      </c>
      <c r="F16" s="24" t="str">
        <f>IF('Clockify Raw'!O16="","",'Clockify Raw'!O16/24)</f>
        <v/>
      </c>
      <c r="G16" t="str">
        <f>IF(A16="","",COUNTIFS($A$2:$A$1000,A16,$B$2:$B$1000,"&lt;"&amp;B16)+COUNTIFS($A$2:A16,A16,$B$2:B16,B16))</f>
        <v/>
      </c>
      <c r="H16" t="str">
        <f t="shared" si="0"/>
        <v/>
      </c>
    </row>
    <row r="17" spans="1:8">
      <c r="A17" s="25" t="str">
        <f>IF('Clockify Raw'!J17="","",'Clockify Raw'!J17)</f>
        <v/>
      </c>
      <c r="B17" s="23" t="str">
        <f>IF('Clockify Raw'!K17="","",VALUE('Clockify Raw'!K17))</f>
        <v/>
      </c>
      <c r="C17" s="23" t="str">
        <f>IF('Clockify Raw'!M17="","",VALUE('Clockify Raw'!M17))</f>
        <v/>
      </c>
      <c r="D17" t="str">
        <f>IF('Clockify Raw'!A17="","",IF(LOWER('Clockify Raw'!A17)="break","Break","Work"))</f>
        <v/>
      </c>
      <c r="E17" t="str">
        <f>IF('Clockify Raw'!A17="","",IF(LOWER('Clockify Raw'!A17)="break","Break",IF('Clockify Raw'!C17&lt;&gt;"",'Clockify Raw'!C17,IF('Clockify Raw'!D17&lt;&gt;"",'Clockify Raw'!D17,'Clockify Raw'!A17))))</f>
        <v/>
      </c>
      <c r="F17" s="24" t="str">
        <f>IF('Clockify Raw'!O17="","",'Clockify Raw'!O17/24)</f>
        <v/>
      </c>
      <c r="G17" t="str">
        <f>IF(A17="","",COUNTIFS($A$2:$A$1000,A17,$B$2:$B$1000,"&lt;"&amp;B17)+COUNTIFS($A$2:A17,A17,$B$2:B17,B17))</f>
        <v/>
      </c>
      <c r="H17" t="str">
        <f t="shared" si="0"/>
        <v/>
      </c>
    </row>
    <row r="18" spans="1:8">
      <c r="A18" s="25" t="str">
        <f>IF('Clockify Raw'!J18="","",'Clockify Raw'!J18)</f>
        <v/>
      </c>
      <c r="B18" s="23" t="str">
        <f>IF('Clockify Raw'!K18="","",VALUE('Clockify Raw'!K18))</f>
        <v/>
      </c>
      <c r="C18" s="23" t="str">
        <f>IF('Clockify Raw'!M18="","",VALUE('Clockify Raw'!M18))</f>
        <v/>
      </c>
      <c r="D18" t="str">
        <f>IF('Clockify Raw'!A18="","",IF(LOWER('Clockify Raw'!A18)="break","Break","Work"))</f>
        <v/>
      </c>
      <c r="E18" t="str">
        <f>IF('Clockify Raw'!A18="","",IF(LOWER('Clockify Raw'!A18)="break","Break",IF('Clockify Raw'!C18&lt;&gt;"",'Clockify Raw'!C18,IF('Clockify Raw'!D18&lt;&gt;"",'Clockify Raw'!D18,'Clockify Raw'!A18))))</f>
        <v/>
      </c>
      <c r="F18" s="24" t="str">
        <f>IF('Clockify Raw'!O18="","",'Clockify Raw'!O18/24)</f>
        <v/>
      </c>
      <c r="G18" t="str">
        <f>IF(A18="","",COUNTIFS($A$2:$A$1000,A18,$B$2:$B$1000,"&lt;"&amp;B18)+COUNTIFS($A$2:A18,A18,$B$2:B18,B18))</f>
        <v/>
      </c>
      <c r="H18" t="str">
        <f t="shared" si="0"/>
        <v/>
      </c>
    </row>
    <row r="19" spans="1:8">
      <c r="A19" s="25" t="str">
        <f>IF('Clockify Raw'!J19="","",'Clockify Raw'!J19)</f>
        <v/>
      </c>
      <c r="B19" s="23" t="str">
        <f>IF('Clockify Raw'!K19="","",VALUE('Clockify Raw'!K19))</f>
        <v/>
      </c>
      <c r="C19" s="23" t="str">
        <f>IF('Clockify Raw'!M19="","",VALUE('Clockify Raw'!M19))</f>
        <v/>
      </c>
      <c r="D19" t="str">
        <f>IF('Clockify Raw'!A19="","",IF(LOWER('Clockify Raw'!A19)="break","Break","Work"))</f>
        <v/>
      </c>
      <c r="E19" t="str">
        <f>IF('Clockify Raw'!A19="","",IF(LOWER('Clockify Raw'!A19)="break","Break",IF('Clockify Raw'!C19&lt;&gt;"",'Clockify Raw'!C19,IF('Clockify Raw'!D19&lt;&gt;"",'Clockify Raw'!D19,'Clockify Raw'!A19))))</f>
        <v/>
      </c>
      <c r="F19" s="24" t="str">
        <f>IF('Clockify Raw'!O19="","",'Clockify Raw'!O19/24)</f>
        <v/>
      </c>
      <c r="G19" t="str">
        <f>IF(A19="","",COUNTIFS($A$2:$A$1000,A19,$B$2:$B$1000,"&lt;"&amp;B19)+COUNTIFS($A$2:A19,A19,$B$2:B19,B19))</f>
        <v/>
      </c>
      <c r="H19" t="str">
        <f t="shared" si="0"/>
        <v/>
      </c>
    </row>
    <row r="20" spans="1:8">
      <c r="A20" s="25" t="str">
        <f>IF('Clockify Raw'!J20="","",'Clockify Raw'!J20)</f>
        <v/>
      </c>
      <c r="B20" s="23" t="str">
        <f>IF('Clockify Raw'!K20="","",VALUE('Clockify Raw'!K20))</f>
        <v/>
      </c>
      <c r="C20" s="23" t="str">
        <f>IF('Clockify Raw'!M20="","",VALUE('Clockify Raw'!M20))</f>
        <v/>
      </c>
      <c r="D20" t="str">
        <f>IF('Clockify Raw'!A20="","",IF(LOWER('Clockify Raw'!A20)="break","Break","Work"))</f>
        <v/>
      </c>
      <c r="E20" t="str">
        <f>IF('Clockify Raw'!A20="","",IF(LOWER('Clockify Raw'!A20)="break","Break",IF('Clockify Raw'!C20&lt;&gt;"",'Clockify Raw'!C20,IF('Clockify Raw'!D20&lt;&gt;"",'Clockify Raw'!D20,'Clockify Raw'!A20))))</f>
        <v/>
      </c>
      <c r="F20" s="24" t="str">
        <f>IF('Clockify Raw'!O20="","",'Clockify Raw'!O20/24)</f>
        <v/>
      </c>
      <c r="G20" t="str">
        <f>IF(A20="","",COUNTIFS($A$2:$A$1000,A20,$B$2:$B$1000,"&lt;"&amp;B20)+COUNTIFS($A$2:A20,A20,$B$2:B20,B20))</f>
        <v/>
      </c>
      <c r="H20" t="str">
        <f t="shared" si="0"/>
        <v/>
      </c>
    </row>
    <row r="21" spans="1:8">
      <c r="A21" s="25" t="str">
        <f>IF('Clockify Raw'!J21="","",'Clockify Raw'!J21)</f>
        <v/>
      </c>
      <c r="B21" s="23" t="str">
        <f>IF('Clockify Raw'!K21="","",VALUE('Clockify Raw'!K21))</f>
        <v/>
      </c>
      <c r="C21" s="23" t="str">
        <f>IF('Clockify Raw'!M21="","",VALUE('Clockify Raw'!M21))</f>
        <v/>
      </c>
      <c r="D21" t="str">
        <f>IF('Clockify Raw'!A21="","",IF(LOWER('Clockify Raw'!A21)="break","Break","Work"))</f>
        <v/>
      </c>
      <c r="E21" t="str">
        <f>IF('Clockify Raw'!A21="","",IF(LOWER('Clockify Raw'!A21)="break","Break",IF('Clockify Raw'!C21&lt;&gt;"",'Clockify Raw'!C21,IF('Clockify Raw'!D21&lt;&gt;"",'Clockify Raw'!D21,'Clockify Raw'!A21))))</f>
        <v/>
      </c>
      <c r="F21" s="24" t="str">
        <f>IF('Clockify Raw'!O21="","",'Clockify Raw'!O21/24)</f>
        <v/>
      </c>
      <c r="G21" t="str">
        <f>IF(A21="","",COUNTIFS($A$2:$A$1000,A21,$B$2:$B$1000,"&lt;"&amp;B21)+COUNTIFS($A$2:A21,A21,$B$2:B21,B21))</f>
        <v/>
      </c>
      <c r="H21" t="str">
        <f t="shared" si="0"/>
        <v/>
      </c>
    </row>
    <row r="22" spans="1:8">
      <c r="A22" s="25" t="str">
        <f>IF('Clockify Raw'!J22="","",'Clockify Raw'!J22)</f>
        <v/>
      </c>
      <c r="B22" s="23" t="str">
        <f>IF('Clockify Raw'!K22="","",VALUE('Clockify Raw'!K22))</f>
        <v/>
      </c>
      <c r="C22" s="23" t="str">
        <f>IF('Clockify Raw'!M22="","",VALUE('Clockify Raw'!M22))</f>
        <v/>
      </c>
      <c r="D22" t="str">
        <f>IF('Clockify Raw'!A22="","",IF(LOWER('Clockify Raw'!A22)="break","Break","Work"))</f>
        <v/>
      </c>
      <c r="E22" t="str">
        <f>IF('Clockify Raw'!A22="","",IF(LOWER('Clockify Raw'!A22)="break","Break",IF('Clockify Raw'!C22&lt;&gt;"",'Clockify Raw'!C22,IF('Clockify Raw'!D22&lt;&gt;"",'Clockify Raw'!D22,'Clockify Raw'!A22))))</f>
        <v/>
      </c>
      <c r="F22" s="24" t="str">
        <f>IF('Clockify Raw'!O22="","",'Clockify Raw'!O22/24)</f>
        <v/>
      </c>
      <c r="G22" t="str">
        <f>IF(A22="","",COUNTIFS($A$2:$A$1000,A22,$B$2:$B$1000,"&lt;"&amp;B22)+COUNTIFS($A$2:A22,A22,$B$2:B22,B22))</f>
        <v/>
      </c>
      <c r="H22" t="str">
        <f t="shared" si="0"/>
        <v/>
      </c>
    </row>
    <row r="23" spans="1:8">
      <c r="A23" s="25" t="str">
        <f>IF('Clockify Raw'!J23="","",'Clockify Raw'!J23)</f>
        <v/>
      </c>
      <c r="B23" s="23" t="str">
        <f>IF('Clockify Raw'!K23="","",VALUE('Clockify Raw'!K23))</f>
        <v/>
      </c>
      <c r="C23" s="23" t="str">
        <f>IF('Clockify Raw'!M23="","",VALUE('Clockify Raw'!M23))</f>
        <v/>
      </c>
      <c r="D23" t="str">
        <f>IF('Clockify Raw'!A23="","",IF(LOWER('Clockify Raw'!A23)="break","Break","Work"))</f>
        <v/>
      </c>
      <c r="E23" t="str">
        <f>IF('Clockify Raw'!A23="","",IF(LOWER('Clockify Raw'!A23)="break","Break",IF('Clockify Raw'!C23&lt;&gt;"",'Clockify Raw'!C23,IF('Clockify Raw'!D23&lt;&gt;"",'Clockify Raw'!D23,'Clockify Raw'!A23))))</f>
        <v/>
      </c>
      <c r="F23" s="24" t="str">
        <f>IF('Clockify Raw'!O23="","",'Clockify Raw'!O23/24)</f>
        <v/>
      </c>
      <c r="G23" t="str">
        <f>IF(A23="","",COUNTIFS($A$2:$A$1000,A23,$B$2:$B$1000,"&lt;"&amp;B23)+COUNTIFS($A$2:A23,A23,$B$2:B23,B23))</f>
        <v/>
      </c>
      <c r="H23" t="str">
        <f t="shared" si="0"/>
        <v/>
      </c>
    </row>
    <row r="24" spans="1:8">
      <c r="A24" s="25" t="str">
        <f>IF('Clockify Raw'!J24="","",'Clockify Raw'!J24)</f>
        <v/>
      </c>
      <c r="B24" s="23" t="str">
        <f>IF('Clockify Raw'!K24="","",VALUE('Clockify Raw'!K24))</f>
        <v/>
      </c>
      <c r="C24" s="23" t="str">
        <f>IF('Clockify Raw'!M24="","",VALUE('Clockify Raw'!M24))</f>
        <v/>
      </c>
      <c r="D24" t="str">
        <f>IF('Clockify Raw'!A24="","",IF(LOWER('Clockify Raw'!A24)="break","Break","Work"))</f>
        <v/>
      </c>
      <c r="E24" t="str">
        <f>IF('Clockify Raw'!A24="","",IF(LOWER('Clockify Raw'!A24)="break","Break",IF('Clockify Raw'!C24&lt;&gt;"",'Clockify Raw'!C24,IF('Clockify Raw'!D24&lt;&gt;"",'Clockify Raw'!D24,'Clockify Raw'!A24))))</f>
        <v/>
      </c>
      <c r="F24" s="24" t="str">
        <f>IF('Clockify Raw'!O24="","",'Clockify Raw'!O24/24)</f>
        <v/>
      </c>
      <c r="G24" t="str">
        <f>IF(A24="","",COUNTIFS($A$2:$A$1000,A24,$B$2:$B$1000,"&lt;"&amp;B24)+COUNTIFS($A$2:A24,A24,$B$2:B24,B24))</f>
        <v/>
      </c>
      <c r="H24" t="str">
        <f t="shared" si="0"/>
        <v/>
      </c>
    </row>
    <row r="25" spans="1:8">
      <c r="A25" s="25" t="str">
        <f>IF('Clockify Raw'!J25="","",'Clockify Raw'!J25)</f>
        <v/>
      </c>
      <c r="B25" s="23" t="str">
        <f>IF('Clockify Raw'!K25="","",VALUE('Clockify Raw'!K25))</f>
        <v/>
      </c>
      <c r="C25" s="23" t="str">
        <f>IF('Clockify Raw'!M25="","",VALUE('Clockify Raw'!M25))</f>
        <v/>
      </c>
      <c r="D25" t="str">
        <f>IF('Clockify Raw'!A25="","",IF(LOWER('Clockify Raw'!A25)="break","Break","Work"))</f>
        <v/>
      </c>
      <c r="E25" t="str">
        <f>IF('Clockify Raw'!A25="","",IF(LOWER('Clockify Raw'!A25)="break","Break",IF('Clockify Raw'!C25&lt;&gt;"",'Clockify Raw'!C25,IF('Clockify Raw'!D25&lt;&gt;"",'Clockify Raw'!D25,'Clockify Raw'!A25))))</f>
        <v/>
      </c>
      <c r="F25" s="24" t="str">
        <f>IF('Clockify Raw'!O25="","",'Clockify Raw'!O25/24)</f>
        <v/>
      </c>
      <c r="G25" t="str">
        <f>IF(A25="","",COUNTIFS($A$2:$A$1000,A25,$B$2:$B$1000,"&lt;"&amp;B25)+COUNTIFS($A$2:A25,A25,$B$2:B25,B25))</f>
        <v/>
      </c>
      <c r="H25" t="str">
        <f t="shared" si="0"/>
        <v/>
      </c>
    </row>
    <row r="26" spans="1:8">
      <c r="A26" s="25" t="str">
        <f>IF('Clockify Raw'!J26="","",'Clockify Raw'!J26)</f>
        <v/>
      </c>
      <c r="B26" s="23" t="str">
        <f>IF('Clockify Raw'!K26="","",VALUE('Clockify Raw'!K26))</f>
        <v/>
      </c>
      <c r="C26" s="23" t="str">
        <f>IF('Clockify Raw'!M26="","",VALUE('Clockify Raw'!M26))</f>
        <v/>
      </c>
      <c r="D26" t="str">
        <f>IF('Clockify Raw'!A26="","",IF(LOWER('Clockify Raw'!A26)="break","Break","Work"))</f>
        <v/>
      </c>
      <c r="E26" t="str">
        <f>IF('Clockify Raw'!A26="","",IF(LOWER('Clockify Raw'!A26)="break","Break",IF('Clockify Raw'!C26&lt;&gt;"",'Clockify Raw'!C26,IF('Clockify Raw'!D26&lt;&gt;"",'Clockify Raw'!D26,'Clockify Raw'!A26))))</f>
        <v/>
      </c>
      <c r="F26" s="24" t="str">
        <f>IF('Clockify Raw'!O26="","",'Clockify Raw'!O26/24)</f>
        <v/>
      </c>
      <c r="G26" t="str">
        <f>IF(A26="","",COUNTIFS($A$2:$A$1000,A26,$B$2:$B$1000,"&lt;"&amp;B26)+COUNTIFS($A$2:A26,A26,$B$2:B26,B26))</f>
        <v/>
      </c>
      <c r="H26" t="str">
        <f t="shared" si="0"/>
        <v/>
      </c>
    </row>
    <row r="27" spans="1:8">
      <c r="A27" s="25" t="str">
        <f>IF('Clockify Raw'!J27="","",'Clockify Raw'!J27)</f>
        <v/>
      </c>
      <c r="B27" s="23" t="str">
        <f>IF('Clockify Raw'!K27="","",VALUE('Clockify Raw'!K27))</f>
        <v/>
      </c>
      <c r="C27" s="23" t="str">
        <f>IF('Clockify Raw'!M27="","",VALUE('Clockify Raw'!M27))</f>
        <v/>
      </c>
      <c r="D27" t="str">
        <f>IF('Clockify Raw'!A27="","",IF(LOWER('Clockify Raw'!A27)="break","Break","Work"))</f>
        <v/>
      </c>
      <c r="E27" t="str">
        <f>IF('Clockify Raw'!A27="","",IF(LOWER('Clockify Raw'!A27)="break","Break",IF('Clockify Raw'!C27&lt;&gt;"",'Clockify Raw'!C27,IF('Clockify Raw'!D27&lt;&gt;"",'Clockify Raw'!D27,'Clockify Raw'!A27))))</f>
        <v/>
      </c>
      <c r="F27" s="24" t="str">
        <f>IF('Clockify Raw'!O27="","",'Clockify Raw'!O27/24)</f>
        <v/>
      </c>
      <c r="G27" t="str">
        <f>IF(A27="","",COUNTIFS($A$2:$A$1000,A27,$B$2:$B$1000,"&lt;"&amp;B27)+COUNTIFS($A$2:A27,A27,$B$2:B27,B27))</f>
        <v/>
      </c>
      <c r="H27" t="str">
        <f t="shared" si="0"/>
        <v/>
      </c>
    </row>
    <row r="28" spans="1:8">
      <c r="A28" s="25" t="str">
        <f>IF('Clockify Raw'!J28="","",'Clockify Raw'!J28)</f>
        <v/>
      </c>
      <c r="B28" s="23" t="str">
        <f>IF('Clockify Raw'!K28="","",VALUE('Clockify Raw'!K28))</f>
        <v/>
      </c>
      <c r="C28" s="23" t="str">
        <f>IF('Clockify Raw'!M28="","",VALUE('Clockify Raw'!M28))</f>
        <v/>
      </c>
      <c r="D28" t="str">
        <f>IF('Clockify Raw'!A28="","",IF(LOWER('Clockify Raw'!A28)="break","Break","Work"))</f>
        <v/>
      </c>
      <c r="E28" t="str">
        <f>IF('Clockify Raw'!A28="","",IF(LOWER('Clockify Raw'!A28)="break","Break",IF('Clockify Raw'!C28&lt;&gt;"",'Clockify Raw'!C28,IF('Clockify Raw'!D28&lt;&gt;"",'Clockify Raw'!D28,'Clockify Raw'!A28))))</f>
        <v/>
      </c>
      <c r="F28" s="24" t="str">
        <f>IF('Clockify Raw'!O28="","",'Clockify Raw'!O28/24)</f>
        <v/>
      </c>
      <c r="G28" t="str">
        <f>IF(A28="","",COUNTIFS($A$2:$A$1000,A28,$B$2:$B$1000,"&lt;"&amp;B28)+COUNTIFS($A$2:A28,A28,$B$2:B28,B28))</f>
        <v/>
      </c>
      <c r="H28" t="str">
        <f t="shared" si="0"/>
        <v/>
      </c>
    </row>
    <row r="29" spans="1:8">
      <c r="A29" s="25" t="str">
        <f>IF('Clockify Raw'!J29="","",'Clockify Raw'!J29)</f>
        <v/>
      </c>
      <c r="B29" s="23" t="str">
        <f>IF('Clockify Raw'!K29="","",VALUE('Clockify Raw'!K29))</f>
        <v/>
      </c>
      <c r="C29" s="23" t="str">
        <f>IF('Clockify Raw'!M29="","",VALUE('Clockify Raw'!M29))</f>
        <v/>
      </c>
      <c r="D29" t="str">
        <f>IF('Clockify Raw'!A29="","",IF(LOWER('Clockify Raw'!A29)="break","Break","Work"))</f>
        <v/>
      </c>
      <c r="E29" t="str">
        <f>IF('Clockify Raw'!A29="","",IF(LOWER('Clockify Raw'!A29)="break","Break",IF('Clockify Raw'!C29&lt;&gt;"",'Clockify Raw'!C29,IF('Clockify Raw'!D29&lt;&gt;"",'Clockify Raw'!D29,'Clockify Raw'!A29))))</f>
        <v/>
      </c>
      <c r="F29" s="24" t="str">
        <f>IF('Clockify Raw'!O29="","",'Clockify Raw'!O29/24)</f>
        <v/>
      </c>
      <c r="G29" t="str">
        <f>IF(A29="","",COUNTIFS($A$2:$A$1000,A29,$B$2:$B$1000,"&lt;"&amp;B29)+COUNTIFS($A$2:A29,A29,$B$2:B29,B29))</f>
        <v/>
      </c>
      <c r="H29" t="str">
        <f t="shared" si="0"/>
        <v/>
      </c>
    </row>
    <row r="30" spans="1:8">
      <c r="A30" s="25" t="str">
        <f>IF('Clockify Raw'!J30="","",'Clockify Raw'!J30)</f>
        <v/>
      </c>
      <c r="B30" s="23" t="str">
        <f>IF('Clockify Raw'!K30="","",VALUE('Clockify Raw'!K30))</f>
        <v/>
      </c>
      <c r="C30" s="23" t="str">
        <f>IF('Clockify Raw'!M30="","",VALUE('Clockify Raw'!M30))</f>
        <v/>
      </c>
      <c r="D30" t="str">
        <f>IF('Clockify Raw'!A30="","",IF(LOWER('Clockify Raw'!A30)="break","Break","Work"))</f>
        <v/>
      </c>
      <c r="E30" t="str">
        <f>IF('Clockify Raw'!A30="","",IF(LOWER('Clockify Raw'!A30)="break","Break",IF('Clockify Raw'!C30&lt;&gt;"",'Clockify Raw'!C30,IF('Clockify Raw'!D30&lt;&gt;"",'Clockify Raw'!D30,'Clockify Raw'!A30))))</f>
        <v/>
      </c>
      <c r="F30" s="24" t="str">
        <f>IF('Clockify Raw'!O30="","",'Clockify Raw'!O30/24)</f>
        <v/>
      </c>
      <c r="G30" t="str">
        <f>IF(A30="","",COUNTIFS($A$2:$A$1000,A30,$B$2:$B$1000,"&lt;"&amp;B30)+COUNTIFS($A$2:A30,A30,$B$2:B30,B30))</f>
        <v/>
      </c>
      <c r="H30" t="str">
        <f t="shared" si="0"/>
        <v/>
      </c>
    </row>
    <row r="31" spans="1:8">
      <c r="A31" s="25" t="str">
        <f>IF('Clockify Raw'!J31="","",'Clockify Raw'!J31)</f>
        <v/>
      </c>
      <c r="B31" s="23" t="str">
        <f>IF('Clockify Raw'!K31="","",VALUE('Clockify Raw'!K31))</f>
        <v/>
      </c>
      <c r="C31" s="23" t="str">
        <f>IF('Clockify Raw'!M31="","",VALUE('Clockify Raw'!M31))</f>
        <v/>
      </c>
      <c r="D31" t="str">
        <f>IF('Clockify Raw'!A31="","",IF(LOWER('Clockify Raw'!A31)="break","Break","Work"))</f>
        <v/>
      </c>
      <c r="E31" t="str">
        <f>IF('Clockify Raw'!A31="","",IF(LOWER('Clockify Raw'!A31)="break","Break",IF('Clockify Raw'!C31&lt;&gt;"",'Clockify Raw'!C31,IF('Clockify Raw'!D31&lt;&gt;"",'Clockify Raw'!D31,'Clockify Raw'!A31))))</f>
        <v/>
      </c>
      <c r="F31" s="24" t="str">
        <f>IF('Clockify Raw'!O31="","",'Clockify Raw'!O31/24)</f>
        <v/>
      </c>
      <c r="G31" t="str">
        <f>IF(A31="","",COUNTIFS($A$2:$A$1000,A31,$B$2:$B$1000,"&lt;"&amp;B31)+COUNTIFS($A$2:A31,A31,$B$2:B31,B31))</f>
        <v/>
      </c>
      <c r="H31" t="str">
        <f t="shared" si="0"/>
        <v/>
      </c>
    </row>
    <row r="32" spans="1:8">
      <c r="A32" s="25" t="str">
        <f>IF('Clockify Raw'!J32="","",'Clockify Raw'!J32)</f>
        <v/>
      </c>
      <c r="B32" s="23" t="str">
        <f>IF('Clockify Raw'!K32="","",VALUE('Clockify Raw'!K32))</f>
        <v/>
      </c>
      <c r="C32" s="23" t="str">
        <f>IF('Clockify Raw'!M32="","",VALUE('Clockify Raw'!M32))</f>
        <v/>
      </c>
      <c r="D32" t="str">
        <f>IF('Clockify Raw'!A32="","",IF(LOWER('Clockify Raw'!A32)="break","Break","Work"))</f>
        <v/>
      </c>
      <c r="E32" t="str">
        <f>IF('Clockify Raw'!A32="","",IF(LOWER('Clockify Raw'!A32)="break","Break",IF('Clockify Raw'!C32&lt;&gt;"",'Clockify Raw'!C32,IF('Clockify Raw'!D32&lt;&gt;"",'Clockify Raw'!D32,'Clockify Raw'!A32))))</f>
        <v/>
      </c>
      <c r="F32" s="24" t="str">
        <f>IF('Clockify Raw'!O32="","",'Clockify Raw'!O32/24)</f>
        <v/>
      </c>
      <c r="G32" t="str">
        <f>IF(A32="","",COUNTIFS($A$2:$A$1000,A32,$B$2:$B$1000,"&lt;"&amp;B32)+COUNTIFS($A$2:A32,A32,$B$2:B32,B32))</f>
        <v/>
      </c>
      <c r="H32" t="str">
        <f t="shared" si="0"/>
        <v/>
      </c>
    </row>
    <row r="33" spans="1:8">
      <c r="A33" s="25" t="str">
        <f>IF('Clockify Raw'!J33="","",'Clockify Raw'!J33)</f>
        <v/>
      </c>
      <c r="B33" s="23" t="str">
        <f>IF('Clockify Raw'!K33="","",VALUE('Clockify Raw'!K33))</f>
        <v/>
      </c>
      <c r="C33" s="23" t="str">
        <f>IF('Clockify Raw'!M33="","",VALUE('Clockify Raw'!M33))</f>
        <v/>
      </c>
      <c r="D33" t="str">
        <f>IF('Clockify Raw'!A33="","",IF(LOWER('Clockify Raw'!A33)="break","Break","Work"))</f>
        <v/>
      </c>
      <c r="E33" t="str">
        <f>IF('Clockify Raw'!A33="","",IF(LOWER('Clockify Raw'!A33)="break","Break",IF('Clockify Raw'!C33&lt;&gt;"",'Clockify Raw'!C33,IF('Clockify Raw'!D33&lt;&gt;"",'Clockify Raw'!D33,'Clockify Raw'!A33))))</f>
        <v/>
      </c>
      <c r="F33" s="24" t="str">
        <f>IF('Clockify Raw'!O33="","",'Clockify Raw'!O33/24)</f>
        <v/>
      </c>
      <c r="G33" t="str">
        <f>IF(A33="","",COUNTIFS($A$2:$A$1000,A33,$B$2:$B$1000,"&lt;"&amp;B33)+COUNTIFS($A$2:A33,A33,$B$2:B33,B33))</f>
        <v/>
      </c>
      <c r="H33" t="str">
        <f t="shared" si="0"/>
        <v/>
      </c>
    </row>
    <row r="34" spans="1:8">
      <c r="A34" s="25" t="str">
        <f>IF('Clockify Raw'!J34="","",'Clockify Raw'!J34)</f>
        <v/>
      </c>
      <c r="B34" s="23" t="str">
        <f>IF('Clockify Raw'!K34="","",VALUE('Clockify Raw'!K34))</f>
        <v/>
      </c>
      <c r="C34" s="23" t="str">
        <f>IF('Clockify Raw'!M34="","",VALUE('Clockify Raw'!M34))</f>
        <v/>
      </c>
      <c r="D34" t="str">
        <f>IF('Clockify Raw'!A34="","",IF(LOWER('Clockify Raw'!A34)="break","Break","Work"))</f>
        <v/>
      </c>
      <c r="E34" t="str">
        <f>IF('Clockify Raw'!A34="","",IF(LOWER('Clockify Raw'!A34)="break","Break",IF('Clockify Raw'!C34&lt;&gt;"",'Clockify Raw'!C34,IF('Clockify Raw'!D34&lt;&gt;"",'Clockify Raw'!D34,'Clockify Raw'!A34))))</f>
        <v/>
      </c>
      <c r="F34" s="24" t="str">
        <f>IF('Clockify Raw'!O34="","",'Clockify Raw'!O34/24)</f>
        <v/>
      </c>
      <c r="G34" t="str">
        <f>IF(A34="","",COUNTIFS($A$2:$A$1000,A34,$B$2:$B$1000,"&lt;"&amp;B34)+COUNTIFS($A$2:A34,A34,$B$2:B34,B34))</f>
        <v/>
      </c>
      <c r="H34" t="str">
        <f t="shared" si="0"/>
        <v/>
      </c>
    </row>
    <row r="35" spans="1:8">
      <c r="A35" s="25" t="str">
        <f>IF('Clockify Raw'!J35="","",'Clockify Raw'!J35)</f>
        <v/>
      </c>
      <c r="B35" s="23" t="str">
        <f>IF('Clockify Raw'!K35="","",VALUE('Clockify Raw'!K35))</f>
        <v/>
      </c>
      <c r="C35" s="23" t="str">
        <f>IF('Clockify Raw'!M35="","",VALUE('Clockify Raw'!M35))</f>
        <v/>
      </c>
      <c r="D35" t="str">
        <f>IF('Clockify Raw'!A35="","",IF(LOWER('Clockify Raw'!A35)="break","Break","Work"))</f>
        <v/>
      </c>
      <c r="E35" t="str">
        <f>IF('Clockify Raw'!A35="","",IF(LOWER('Clockify Raw'!A35)="break","Break",IF('Clockify Raw'!C35&lt;&gt;"",'Clockify Raw'!C35,IF('Clockify Raw'!D35&lt;&gt;"",'Clockify Raw'!D35,'Clockify Raw'!A35))))</f>
        <v/>
      </c>
      <c r="F35" s="24" t="str">
        <f>IF('Clockify Raw'!O35="","",'Clockify Raw'!O35/24)</f>
        <v/>
      </c>
      <c r="G35" t="str">
        <f>IF(A35="","",COUNTIFS($A$2:$A$1000,A35,$B$2:$B$1000,"&lt;"&amp;B35)+COUNTIFS($A$2:A35,A35,$B$2:B35,B35))</f>
        <v/>
      </c>
      <c r="H35" t="str">
        <f t="shared" si="0"/>
        <v/>
      </c>
    </row>
    <row r="36" spans="1:8">
      <c r="A36" s="25" t="str">
        <f>IF('Clockify Raw'!J36="","",'Clockify Raw'!J36)</f>
        <v/>
      </c>
      <c r="B36" s="23" t="str">
        <f>IF('Clockify Raw'!K36="","",VALUE('Clockify Raw'!K36))</f>
        <v/>
      </c>
      <c r="C36" s="23" t="str">
        <f>IF('Clockify Raw'!M36="","",VALUE('Clockify Raw'!M36))</f>
        <v/>
      </c>
      <c r="D36" t="str">
        <f>IF('Clockify Raw'!A36="","",IF(LOWER('Clockify Raw'!A36)="break","Break","Work"))</f>
        <v/>
      </c>
      <c r="E36" t="str">
        <f>IF('Clockify Raw'!A36="","",IF(LOWER('Clockify Raw'!A36)="break","Break",IF('Clockify Raw'!C36&lt;&gt;"",'Clockify Raw'!C36,IF('Clockify Raw'!D36&lt;&gt;"",'Clockify Raw'!D36,'Clockify Raw'!A36))))</f>
        <v/>
      </c>
      <c r="F36" s="24" t="str">
        <f>IF('Clockify Raw'!O36="","",'Clockify Raw'!O36/24)</f>
        <v/>
      </c>
      <c r="G36" t="str">
        <f>IF(A36="","",COUNTIFS($A$2:$A$1000,A36,$B$2:$B$1000,"&lt;"&amp;B36)+COUNTIFS($A$2:A36,A36,$B$2:B36,B36))</f>
        <v/>
      </c>
      <c r="H36" t="str">
        <f t="shared" si="0"/>
        <v/>
      </c>
    </row>
    <row r="37" spans="1:8">
      <c r="A37" s="25" t="str">
        <f>IF('Clockify Raw'!J37="","",'Clockify Raw'!J37)</f>
        <v/>
      </c>
      <c r="B37" s="23" t="str">
        <f>IF('Clockify Raw'!K37="","",VALUE('Clockify Raw'!K37))</f>
        <v/>
      </c>
      <c r="C37" s="23" t="str">
        <f>IF('Clockify Raw'!M37="","",VALUE('Clockify Raw'!M37))</f>
        <v/>
      </c>
      <c r="D37" t="str">
        <f>IF('Clockify Raw'!A37="","",IF(LOWER('Clockify Raw'!A37)="break","Break","Work"))</f>
        <v/>
      </c>
      <c r="E37" t="str">
        <f>IF('Clockify Raw'!A37="","",IF(LOWER('Clockify Raw'!A37)="break","Break",IF('Clockify Raw'!C37&lt;&gt;"",'Clockify Raw'!C37,IF('Clockify Raw'!D37&lt;&gt;"",'Clockify Raw'!D37,'Clockify Raw'!A37))))</f>
        <v/>
      </c>
      <c r="F37" s="24" t="str">
        <f>IF('Clockify Raw'!O37="","",'Clockify Raw'!O37/24)</f>
        <v/>
      </c>
      <c r="G37" t="str">
        <f>IF(A37="","",COUNTIFS($A$2:$A$1000,A37,$B$2:$B$1000,"&lt;"&amp;B37)+COUNTIFS($A$2:A37,A37,$B$2:B37,B37))</f>
        <v/>
      </c>
      <c r="H37" t="str">
        <f t="shared" si="0"/>
        <v/>
      </c>
    </row>
    <row r="38" spans="1:8">
      <c r="A38" s="25" t="str">
        <f>IF('Clockify Raw'!J38="","",'Clockify Raw'!J38)</f>
        <v/>
      </c>
      <c r="B38" s="23" t="str">
        <f>IF('Clockify Raw'!K38="","",VALUE('Clockify Raw'!K38))</f>
        <v/>
      </c>
      <c r="C38" s="23" t="str">
        <f>IF('Clockify Raw'!M38="","",VALUE('Clockify Raw'!M38))</f>
        <v/>
      </c>
      <c r="D38" t="str">
        <f>IF('Clockify Raw'!A38="","",IF(LOWER('Clockify Raw'!A38)="break","Break","Work"))</f>
        <v/>
      </c>
      <c r="E38" t="str">
        <f>IF('Clockify Raw'!A38="","",IF(LOWER('Clockify Raw'!A38)="break","Break",IF('Clockify Raw'!C38&lt;&gt;"",'Clockify Raw'!C38,IF('Clockify Raw'!D38&lt;&gt;"",'Clockify Raw'!D38,'Clockify Raw'!A38))))</f>
        <v/>
      </c>
      <c r="F38" s="24" t="str">
        <f>IF('Clockify Raw'!O38="","",'Clockify Raw'!O38/24)</f>
        <v/>
      </c>
      <c r="G38" t="str">
        <f>IF(A38="","",COUNTIFS($A$2:$A$1000,A38,$B$2:$B$1000,"&lt;"&amp;B38)+COUNTIFS($A$2:A38,A38,$B$2:B38,B38))</f>
        <v/>
      </c>
      <c r="H38" t="str">
        <f t="shared" si="0"/>
        <v/>
      </c>
    </row>
    <row r="39" spans="1:8">
      <c r="A39" s="25" t="str">
        <f>IF('Clockify Raw'!J39="","",'Clockify Raw'!J39)</f>
        <v/>
      </c>
      <c r="B39" s="23" t="str">
        <f>IF('Clockify Raw'!K39="","",VALUE('Clockify Raw'!K39))</f>
        <v/>
      </c>
      <c r="C39" s="23" t="str">
        <f>IF('Clockify Raw'!M39="","",VALUE('Clockify Raw'!M39))</f>
        <v/>
      </c>
      <c r="D39" t="str">
        <f>IF('Clockify Raw'!A39="","",IF(LOWER('Clockify Raw'!A39)="break","Break","Work"))</f>
        <v/>
      </c>
      <c r="E39" t="str">
        <f>IF('Clockify Raw'!A39="","",IF(LOWER('Clockify Raw'!A39)="break","Break",IF('Clockify Raw'!C39&lt;&gt;"",'Clockify Raw'!C39,IF('Clockify Raw'!D39&lt;&gt;"",'Clockify Raw'!D39,'Clockify Raw'!A39))))</f>
        <v/>
      </c>
      <c r="F39" s="24" t="str">
        <f>IF('Clockify Raw'!O39="","",'Clockify Raw'!O39/24)</f>
        <v/>
      </c>
      <c r="G39" t="str">
        <f>IF(A39="","",COUNTIFS($A$2:$A$1000,A39,$B$2:$B$1000,"&lt;"&amp;B39)+COUNTIFS($A$2:A39,A39,$B$2:B39,B39))</f>
        <v/>
      </c>
      <c r="H39" t="str">
        <f t="shared" si="0"/>
        <v/>
      </c>
    </row>
    <row r="40" spans="1:8">
      <c r="A40" s="25" t="str">
        <f>IF('Clockify Raw'!J40="","",'Clockify Raw'!J40)</f>
        <v/>
      </c>
      <c r="B40" s="23" t="str">
        <f>IF('Clockify Raw'!K40="","",VALUE('Clockify Raw'!K40))</f>
        <v/>
      </c>
      <c r="C40" s="23" t="str">
        <f>IF('Clockify Raw'!M40="","",VALUE('Clockify Raw'!M40))</f>
        <v/>
      </c>
      <c r="D40" t="str">
        <f>IF('Clockify Raw'!A40="","",IF(LOWER('Clockify Raw'!A40)="break","Break","Work"))</f>
        <v/>
      </c>
      <c r="E40" t="str">
        <f>IF('Clockify Raw'!A40="","",IF(LOWER('Clockify Raw'!A40)="break","Break",IF('Clockify Raw'!C40&lt;&gt;"",'Clockify Raw'!C40,IF('Clockify Raw'!D40&lt;&gt;"",'Clockify Raw'!D40,'Clockify Raw'!A40))))</f>
        <v/>
      </c>
      <c r="F40" s="24" t="str">
        <f>IF('Clockify Raw'!O40="","",'Clockify Raw'!O40/24)</f>
        <v/>
      </c>
      <c r="G40" t="str">
        <f>IF(A40="","",COUNTIFS($A$2:$A$1000,A40,$B$2:$B$1000,"&lt;"&amp;B40)+COUNTIFS($A$2:A40,A40,$B$2:B40,B40))</f>
        <v/>
      </c>
      <c r="H40" t="str">
        <f t="shared" si="0"/>
        <v/>
      </c>
    </row>
    <row r="41" spans="1:8">
      <c r="A41" s="25" t="str">
        <f>IF('Clockify Raw'!J41="","",'Clockify Raw'!J41)</f>
        <v/>
      </c>
      <c r="B41" s="23" t="str">
        <f>IF('Clockify Raw'!K41="","",VALUE('Clockify Raw'!K41))</f>
        <v/>
      </c>
      <c r="C41" s="23" t="str">
        <f>IF('Clockify Raw'!M41="","",VALUE('Clockify Raw'!M41))</f>
        <v/>
      </c>
      <c r="D41" t="str">
        <f>IF('Clockify Raw'!A41="","",IF(LOWER('Clockify Raw'!A41)="break","Break","Work"))</f>
        <v/>
      </c>
      <c r="E41" t="str">
        <f>IF('Clockify Raw'!A41="","",IF(LOWER('Clockify Raw'!A41)="break","Break",IF('Clockify Raw'!C41&lt;&gt;"",'Clockify Raw'!C41,IF('Clockify Raw'!D41&lt;&gt;"",'Clockify Raw'!D41,'Clockify Raw'!A41))))</f>
        <v/>
      </c>
      <c r="F41" s="24" t="str">
        <f>IF('Clockify Raw'!O41="","",'Clockify Raw'!O41/24)</f>
        <v/>
      </c>
      <c r="G41" t="str">
        <f>IF(A41="","",COUNTIFS($A$2:$A$1000,A41,$B$2:$B$1000,"&lt;"&amp;B41)+COUNTIFS($A$2:A41,A41,$B$2:B41,B41))</f>
        <v/>
      </c>
      <c r="H41" t="str">
        <f t="shared" si="0"/>
        <v/>
      </c>
    </row>
    <row r="42" spans="1:8">
      <c r="A42" s="25" t="str">
        <f>IF('Clockify Raw'!J42="","",'Clockify Raw'!J42)</f>
        <v/>
      </c>
      <c r="B42" s="23" t="str">
        <f>IF('Clockify Raw'!K42="","",VALUE('Clockify Raw'!K42))</f>
        <v/>
      </c>
      <c r="C42" s="23" t="str">
        <f>IF('Clockify Raw'!M42="","",VALUE('Clockify Raw'!M42))</f>
        <v/>
      </c>
      <c r="D42" t="str">
        <f>IF('Clockify Raw'!A42="","",IF(LOWER('Clockify Raw'!A42)="break","Break","Work"))</f>
        <v/>
      </c>
      <c r="E42" t="str">
        <f>IF('Clockify Raw'!A42="","",IF(LOWER('Clockify Raw'!A42)="break","Break",IF('Clockify Raw'!C42&lt;&gt;"",'Clockify Raw'!C42,IF('Clockify Raw'!D42&lt;&gt;"",'Clockify Raw'!D42,'Clockify Raw'!A42))))</f>
        <v/>
      </c>
      <c r="F42" s="24" t="str">
        <f>IF('Clockify Raw'!O42="","",'Clockify Raw'!O42/24)</f>
        <v/>
      </c>
      <c r="G42" t="str">
        <f>IF(A42="","",COUNTIFS($A$2:$A$1000,A42,$B$2:$B$1000,"&lt;"&amp;B42)+COUNTIFS($A$2:A42,A42,$B$2:B42,B42))</f>
        <v/>
      </c>
      <c r="H42" t="str">
        <f t="shared" si="0"/>
        <v/>
      </c>
    </row>
    <row r="43" spans="1:8">
      <c r="A43" s="25" t="str">
        <f>IF('Clockify Raw'!J43="","",'Clockify Raw'!J43)</f>
        <v/>
      </c>
      <c r="B43" s="23" t="str">
        <f>IF('Clockify Raw'!K43="","",VALUE('Clockify Raw'!K43))</f>
        <v/>
      </c>
      <c r="C43" s="23" t="str">
        <f>IF('Clockify Raw'!M43="","",VALUE('Clockify Raw'!M43))</f>
        <v/>
      </c>
      <c r="D43" t="str">
        <f>IF('Clockify Raw'!A43="","",IF(LOWER('Clockify Raw'!A43)="break","Break","Work"))</f>
        <v/>
      </c>
      <c r="E43" t="str">
        <f>IF('Clockify Raw'!A43="","",IF(LOWER('Clockify Raw'!A43)="break","Break",IF('Clockify Raw'!C43&lt;&gt;"",'Clockify Raw'!C43,IF('Clockify Raw'!D43&lt;&gt;"",'Clockify Raw'!D43,'Clockify Raw'!A43))))</f>
        <v/>
      </c>
      <c r="F43" s="24" t="str">
        <f>IF('Clockify Raw'!O43="","",'Clockify Raw'!O43/24)</f>
        <v/>
      </c>
      <c r="G43" t="str">
        <f>IF(A43="","",COUNTIFS($A$2:$A$1000,A43,$B$2:$B$1000,"&lt;"&amp;B43)+COUNTIFS($A$2:A43,A43,$B$2:B43,B43))</f>
        <v/>
      </c>
      <c r="H43" t="str">
        <f t="shared" si="0"/>
        <v/>
      </c>
    </row>
    <row r="44" spans="1:8">
      <c r="A44" s="25" t="str">
        <f>IF('Clockify Raw'!J44="","",'Clockify Raw'!J44)</f>
        <v/>
      </c>
      <c r="B44" s="23" t="str">
        <f>IF('Clockify Raw'!K44="","",VALUE('Clockify Raw'!K44))</f>
        <v/>
      </c>
      <c r="C44" s="23" t="str">
        <f>IF('Clockify Raw'!M44="","",VALUE('Clockify Raw'!M44))</f>
        <v/>
      </c>
      <c r="D44" t="str">
        <f>IF('Clockify Raw'!A44="","",IF(LOWER('Clockify Raw'!A44)="break","Break","Work"))</f>
        <v/>
      </c>
      <c r="E44" t="str">
        <f>IF('Clockify Raw'!A44="","",IF(LOWER('Clockify Raw'!A44)="break","Break",IF('Clockify Raw'!C44&lt;&gt;"",'Clockify Raw'!C44,IF('Clockify Raw'!D44&lt;&gt;"",'Clockify Raw'!D44,'Clockify Raw'!A44))))</f>
        <v/>
      </c>
      <c r="F44" s="24" t="str">
        <f>IF('Clockify Raw'!O44="","",'Clockify Raw'!O44/24)</f>
        <v/>
      </c>
      <c r="G44" t="str">
        <f>IF(A44="","",COUNTIFS($A$2:$A$1000,A44,$B$2:$B$1000,"&lt;"&amp;B44)+COUNTIFS($A$2:A44,A44,$B$2:B44,B44))</f>
        <v/>
      </c>
      <c r="H44" t="str">
        <f t="shared" si="0"/>
        <v/>
      </c>
    </row>
    <row r="45" spans="1:8">
      <c r="A45" s="25" t="str">
        <f>IF('Clockify Raw'!J45="","",'Clockify Raw'!J45)</f>
        <v/>
      </c>
      <c r="B45" s="23" t="str">
        <f>IF('Clockify Raw'!K45="","",VALUE('Clockify Raw'!K45))</f>
        <v/>
      </c>
      <c r="C45" s="23" t="str">
        <f>IF('Clockify Raw'!M45="","",VALUE('Clockify Raw'!M45))</f>
        <v/>
      </c>
      <c r="D45" t="str">
        <f>IF('Clockify Raw'!A45="","",IF(LOWER('Clockify Raw'!A45)="break","Break","Work"))</f>
        <v/>
      </c>
      <c r="E45" t="str">
        <f>IF('Clockify Raw'!A45="","",IF(LOWER('Clockify Raw'!A45)="break","Break",IF('Clockify Raw'!C45&lt;&gt;"",'Clockify Raw'!C45,IF('Clockify Raw'!D45&lt;&gt;"",'Clockify Raw'!D45,'Clockify Raw'!A45))))</f>
        <v/>
      </c>
      <c r="F45" s="24" t="str">
        <f>IF('Clockify Raw'!O45="","",'Clockify Raw'!O45/24)</f>
        <v/>
      </c>
      <c r="G45" t="str">
        <f>IF(A45="","",COUNTIFS($A$2:$A$1000,A45,$B$2:$B$1000,"&lt;"&amp;B45)+COUNTIFS($A$2:A45,A45,$B$2:B45,B45))</f>
        <v/>
      </c>
      <c r="H45" t="str">
        <f t="shared" si="0"/>
        <v/>
      </c>
    </row>
    <row r="46" spans="1:8">
      <c r="A46" s="25" t="str">
        <f>IF('Clockify Raw'!J46="","",'Clockify Raw'!J46)</f>
        <v/>
      </c>
      <c r="B46" s="23" t="str">
        <f>IF('Clockify Raw'!K46="","",VALUE('Clockify Raw'!K46))</f>
        <v/>
      </c>
      <c r="C46" s="23" t="str">
        <f>IF('Clockify Raw'!M46="","",VALUE('Clockify Raw'!M46))</f>
        <v/>
      </c>
      <c r="D46" t="str">
        <f>IF('Clockify Raw'!A46="","",IF(LOWER('Clockify Raw'!A46)="break","Break","Work"))</f>
        <v/>
      </c>
      <c r="E46" t="str">
        <f>IF('Clockify Raw'!A46="","",IF(LOWER('Clockify Raw'!A46)="break","Break",IF('Clockify Raw'!C46&lt;&gt;"",'Clockify Raw'!C46,IF('Clockify Raw'!D46&lt;&gt;"",'Clockify Raw'!D46,'Clockify Raw'!A46))))</f>
        <v/>
      </c>
      <c r="F46" s="24" t="str">
        <f>IF('Clockify Raw'!O46="","",'Clockify Raw'!O46/24)</f>
        <v/>
      </c>
      <c r="G46" t="str">
        <f>IF(A46="","",COUNTIFS($A$2:$A$1000,A46,$B$2:$B$1000,"&lt;"&amp;B46)+COUNTIFS($A$2:A46,A46,$B$2:B46,B46))</f>
        <v/>
      </c>
      <c r="H46" t="str">
        <f t="shared" si="0"/>
        <v/>
      </c>
    </row>
    <row r="47" spans="1:8">
      <c r="A47" s="25" t="str">
        <f>IF('Clockify Raw'!J47="","",'Clockify Raw'!J47)</f>
        <v/>
      </c>
      <c r="B47" s="23" t="str">
        <f>IF('Clockify Raw'!K47="","",VALUE('Clockify Raw'!K47))</f>
        <v/>
      </c>
      <c r="C47" s="23" t="str">
        <f>IF('Clockify Raw'!M47="","",VALUE('Clockify Raw'!M47))</f>
        <v/>
      </c>
      <c r="D47" t="str">
        <f>IF('Clockify Raw'!A47="","",IF(LOWER('Clockify Raw'!A47)="break","Break","Work"))</f>
        <v/>
      </c>
      <c r="E47" t="str">
        <f>IF('Clockify Raw'!A47="","",IF(LOWER('Clockify Raw'!A47)="break","Break",IF('Clockify Raw'!C47&lt;&gt;"",'Clockify Raw'!C47,IF('Clockify Raw'!D47&lt;&gt;"",'Clockify Raw'!D47,'Clockify Raw'!A47))))</f>
        <v/>
      </c>
      <c r="F47" s="24" t="str">
        <f>IF('Clockify Raw'!O47="","",'Clockify Raw'!O47/24)</f>
        <v/>
      </c>
      <c r="G47" t="str">
        <f>IF(A47="","",COUNTIFS($A$2:$A$1000,A47,$B$2:$B$1000,"&lt;"&amp;B47)+COUNTIFS($A$2:A47,A47,$B$2:B47,B47))</f>
        <v/>
      </c>
      <c r="H47" t="str">
        <f t="shared" si="0"/>
        <v/>
      </c>
    </row>
    <row r="48" spans="1:8">
      <c r="A48" s="25" t="str">
        <f>IF('Clockify Raw'!J48="","",'Clockify Raw'!J48)</f>
        <v/>
      </c>
      <c r="B48" s="23" t="str">
        <f>IF('Clockify Raw'!K48="","",VALUE('Clockify Raw'!K48))</f>
        <v/>
      </c>
      <c r="C48" s="23" t="str">
        <f>IF('Clockify Raw'!M48="","",VALUE('Clockify Raw'!M48))</f>
        <v/>
      </c>
      <c r="D48" t="str">
        <f>IF('Clockify Raw'!A48="","",IF(LOWER('Clockify Raw'!A48)="break","Break","Work"))</f>
        <v/>
      </c>
      <c r="E48" t="str">
        <f>IF('Clockify Raw'!A48="","",IF(LOWER('Clockify Raw'!A48)="break","Break",IF('Clockify Raw'!C48&lt;&gt;"",'Clockify Raw'!C48,IF('Clockify Raw'!D48&lt;&gt;"",'Clockify Raw'!D48,'Clockify Raw'!A48))))</f>
        <v/>
      </c>
      <c r="F48" s="24" t="str">
        <f>IF('Clockify Raw'!O48="","",'Clockify Raw'!O48/24)</f>
        <v/>
      </c>
      <c r="G48" t="str">
        <f>IF(A48="","",COUNTIFS($A$2:$A$1000,A48,$B$2:$B$1000,"&lt;"&amp;B48)+COUNTIFS($A$2:A48,A48,$B$2:B48,B48))</f>
        <v/>
      </c>
      <c r="H48" t="str">
        <f t="shared" si="0"/>
        <v/>
      </c>
    </row>
    <row r="49" spans="1:8">
      <c r="A49" s="25" t="str">
        <f>IF('Clockify Raw'!J49="","",'Clockify Raw'!J49)</f>
        <v/>
      </c>
      <c r="B49" s="23" t="str">
        <f>IF('Clockify Raw'!K49="","",VALUE('Clockify Raw'!K49))</f>
        <v/>
      </c>
      <c r="C49" s="23" t="str">
        <f>IF('Clockify Raw'!M49="","",VALUE('Clockify Raw'!M49))</f>
        <v/>
      </c>
      <c r="D49" t="str">
        <f>IF('Clockify Raw'!A49="","",IF(LOWER('Clockify Raw'!A49)="break","Break","Work"))</f>
        <v/>
      </c>
      <c r="E49" t="str">
        <f>IF('Clockify Raw'!A49="","",IF(LOWER('Clockify Raw'!A49)="break","Break",IF('Clockify Raw'!C49&lt;&gt;"",'Clockify Raw'!C49,IF('Clockify Raw'!D49&lt;&gt;"",'Clockify Raw'!D49,'Clockify Raw'!A49))))</f>
        <v/>
      </c>
      <c r="F49" s="24" t="str">
        <f>IF('Clockify Raw'!O49="","",'Clockify Raw'!O49/24)</f>
        <v/>
      </c>
      <c r="G49" t="str">
        <f>IF(A49="","",COUNTIFS($A$2:$A$1000,A49,$B$2:$B$1000,"&lt;"&amp;B49)+COUNTIFS($A$2:A49,A49,$B$2:B49,B49))</f>
        <v/>
      </c>
      <c r="H49" t="str">
        <f t="shared" si="0"/>
        <v/>
      </c>
    </row>
    <row r="50" spans="1:8">
      <c r="A50" s="25" t="str">
        <f>IF('Clockify Raw'!J50="","",'Clockify Raw'!J50)</f>
        <v/>
      </c>
      <c r="B50" s="23" t="str">
        <f>IF('Clockify Raw'!K50="","",VALUE('Clockify Raw'!K50))</f>
        <v/>
      </c>
      <c r="C50" s="23" t="str">
        <f>IF('Clockify Raw'!M50="","",VALUE('Clockify Raw'!M50))</f>
        <v/>
      </c>
      <c r="D50" t="str">
        <f>IF('Clockify Raw'!A50="","",IF(LOWER('Clockify Raw'!A50)="break","Break","Work"))</f>
        <v/>
      </c>
      <c r="E50" t="str">
        <f>IF('Clockify Raw'!A50="","",IF(LOWER('Clockify Raw'!A50)="break","Break",IF('Clockify Raw'!C50&lt;&gt;"",'Clockify Raw'!C50,IF('Clockify Raw'!D50&lt;&gt;"",'Clockify Raw'!D50,'Clockify Raw'!A50))))</f>
        <v/>
      </c>
      <c r="F50" s="24" t="str">
        <f>IF('Clockify Raw'!O50="","",'Clockify Raw'!O50/24)</f>
        <v/>
      </c>
      <c r="G50" t="str">
        <f>IF(A50="","",COUNTIFS($A$2:$A$1000,A50,$B$2:$B$1000,"&lt;"&amp;B50)+COUNTIFS($A$2:A50,A50,$B$2:B50,B50))</f>
        <v/>
      </c>
      <c r="H50" t="str">
        <f t="shared" si="0"/>
        <v/>
      </c>
    </row>
    <row r="51" spans="1:8">
      <c r="A51" s="25" t="str">
        <f>IF('Clockify Raw'!J51="","",'Clockify Raw'!J51)</f>
        <v/>
      </c>
      <c r="B51" s="23" t="str">
        <f>IF('Clockify Raw'!K51="","",VALUE('Clockify Raw'!K51))</f>
        <v/>
      </c>
      <c r="C51" s="23" t="str">
        <f>IF('Clockify Raw'!M51="","",VALUE('Clockify Raw'!M51))</f>
        <v/>
      </c>
      <c r="D51" t="str">
        <f>IF('Clockify Raw'!A51="","",IF(LOWER('Clockify Raw'!A51)="break","Break","Work"))</f>
        <v/>
      </c>
      <c r="E51" t="str">
        <f>IF('Clockify Raw'!A51="","",IF(LOWER('Clockify Raw'!A51)="break","Break",IF('Clockify Raw'!C51&lt;&gt;"",'Clockify Raw'!C51,IF('Clockify Raw'!D51&lt;&gt;"",'Clockify Raw'!D51,'Clockify Raw'!A51))))</f>
        <v/>
      </c>
      <c r="F51" s="24" t="str">
        <f>IF('Clockify Raw'!O51="","",'Clockify Raw'!O51/24)</f>
        <v/>
      </c>
      <c r="G51" t="str">
        <f>IF(A51="","",COUNTIFS($A$2:$A$1000,A51,$B$2:$B$1000,"&lt;"&amp;B51)+COUNTIFS($A$2:A51,A51,$B$2:B51,B51))</f>
        <v/>
      </c>
      <c r="H51" t="str">
        <f t="shared" si="0"/>
        <v/>
      </c>
    </row>
    <row r="52" spans="1:8">
      <c r="A52" s="25" t="str">
        <f>IF('Clockify Raw'!J52="","",'Clockify Raw'!J52)</f>
        <v/>
      </c>
      <c r="B52" s="23" t="str">
        <f>IF('Clockify Raw'!K52="","",VALUE('Clockify Raw'!K52))</f>
        <v/>
      </c>
      <c r="C52" s="23" t="str">
        <f>IF('Clockify Raw'!M52="","",VALUE('Clockify Raw'!M52))</f>
        <v/>
      </c>
      <c r="D52" t="str">
        <f>IF('Clockify Raw'!A52="","",IF(LOWER('Clockify Raw'!A52)="break","Break","Work"))</f>
        <v/>
      </c>
      <c r="E52" t="str">
        <f>IF('Clockify Raw'!A52="","",IF(LOWER('Clockify Raw'!A52)="break","Break",IF('Clockify Raw'!C52&lt;&gt;"",'Clockify Raw'!C52,IF('Clockify Raw'!D52&lt;&gt;"",'Clockify Raw'!D52,'Clockify Raw'!A52))))</f>
        <v/>
      </c>
      <c r="F52" s="24" t="str">
        <f>IF('Clockify Raw'!O52="","",'Clockify Raw'!O52/24)</f>
        <v/>
      </c>
      <c r="G52" t="str">
        <f>IF(A52="","",COUNTIFS($A$2:$A$1000,A52,$B$2:$B$1000,"&lt;"&amp;B52)+COUNTIFS($A$2:A52,A52,$B$2:B52,B52))</f>
        <v/>
      </c>
      <c r="H52" t="str">
        <f t="shared" si="0"/>
        <v/>
      </c>
    </row>
    <row r="53" spans="1:8">
      <c r="A53" s="25" t="str">
        <f>IF('Clockify Raw'!J53="","",'Clockify Raw'!J53)</f>
        <v/>
      </c>
      <c r="B53" s="23" t="str">
        <f>IF('Clockify Raw'!K53="","",VALUE('Clockify Raw'!K53))</f>
        <v/>
      </c>
      <c r="C53" s="23" t="str">
        <f>IF('Clockify Raw'!M53="","",VALUE('Clockify Raw'!M53))</f>
        <v/>
      </c>
      <c r="D53" t="str">
        <f>IF('Clockify Raw'!A53="","",IF(LOWER('Clockify Raw'!A53)="break","Break","Work"))</f>
        <v/>
      </c>
      <c r="E53" t="str">
        <f>IF('Clockify Raw'!A53="","",IF(LOWER('Clockify Raw'!A53)="break","Break",IF('Clockify Raw'!C53&lt;&gt;"",'Clockify Raw'!C53,IF('Clockify Raw'!D53&lt;&gt;"",'Clockify Raw'!D53,'Clockify Raw'!A53))))</f>
        <v/>
      </c>
      <c r="F53" s="24" t="str">
        <f>IF('Clockify Raw'!O53="","",'Clockify Raw'!O53/24)</f>
        <v/>
      </c>
      <c r="G53" t="str">
        <f>IF(A53="","",COUNTIFS($A$2:$A$1000,A53,$B$2:$B$1000,"&lt;"&amp;B53)+COUNTIFS($A$2:A53,A53,$B$2:B53,B53))</f>
        <v/>
      </c>
      <c r="H53" t="str">
        <f t="shared" si="0"/>
        <v/>
      </c>
    </row>
    <row r="54" spans="1:8">
      <c r="A54" s="25" t="str">
        <f>IF('Clockify Raw'!J54="","",'Clockify Raw'!J54)</f>
        <v/>
      </c>
      <c r="B54" s="23" t="str">
        <f>IF('Clockify Raw'!K54="","",VALUE('Clockify Raw'!K54))</f>
        <v/>
      </c>
      <c r="C54" s="23" t="str">
        <f>IF('Clockify Raw'!M54="","",VALUE('Clockify Raw'!M54))</f>
        <v/>
      </c>
      <c r="D54" t="str">
        <f>IF('Clockify Raw'!A54="","",IF(LOWER('Clockify Raw'!A54)="break","Break","Work"))</f>
        <v/>
      </c>
      <c r="E54" t="str">
        <f>IF('Clockify Raw'!A54="","",IF(LOWER('Clockify Raw'!A54)="break","Break",IF('Clockify Raw'!C54&lt;&gt;"",'Clockify Raw'!C54,IF('Clockify Raw'!D54&lt;&gt;"",'Clockify Raw'!D54,'Clockify Raw'!A54))))</f>
        <v/>
      </c>
      <c r="F54" s="24" t="str">
        <f>IF('Clockify Raw'!O54="","",'Clockify Raw'!O54/24)</f>
        <v/>
      </c>
      <c r="G54" t="str">
        <f>IF(A54="","",COUNTIFS($A$2:$A$1000,A54,$B$2:$B$1000,"&lt;"&amp;B54)+COUNTIFS($A$2:A54,A54,$B$2:B54,B54))</f>
        <v/>
      </c>
      <c r="H54" t="str">
        <f t="shared" si="0"/>
        <v/>
      </c>
    </row>
    <row r="55" spans="1:8">
      <c r="A55" s="25" t="str">
        <f>IF('Clockify Raw'!J55="","",'Clockify Raw'!J55)</f>
        <v/>
      </c>
      <c r="B55" s="23" t="str">
        <f>IF('Clockify Raw'!K55="","",VALUE('Clockify Raw'!K55))</f>
        <v/>
      </c>
      <c r="C55" s="23" t="str">
        <f>IF('Clockify Raw'!M55="","",VALUE('Clockify Raw'!M55))</f>
        <v/>
      </c>
      <c r="D55" t="str">
        <f>IF('Clockify Raw'!A55="","",IF(LOWER('Clockify Raw'!A55)="break","Break","Work"))</f>
        <v/>
      </c>
      <c r="E55" t="str">
        <f>IF('Clockify Raw'!A55="","",IF(LOWER('Clockify Raw'!A55)="break","Break",IF('Clockify Raw'!C55&lt;&gt;"",'Clockify Raw'!C55,IF('Clockify Raw'!D55&lt;&gt;"",'Clockify Raw'!D55,'Clockify Raw'!A55))))</f>
        <v/>
      </c>
      <c r="F55" s="24" t="str">
        <f>IF('Clockify Raw'!O55="","",'Clockify Raw'!O55/24)</f>
        <v/>
      </c>
      <c r="G55" t="str">
        <f>IF(A55="","",COUNTIFS($A$2:$A$1000,A55,$B$2:$B$1000,"&lt;"&amp;B55)+COUNTIFS($A$2:A55,A55,$B$2:B55,B55))</f>
        <v/>
      </c>
      <c r="H55" t="str">
        <f t="shared" si="0"/>
        <v/>
      </c>
    </row>
    <row r="56" spans="1:8">
      <c r="A56" s="25" t="str">
        <f>IF('Clockify Raw'!J56="","",'Clockify Raw'!J56)</f>
        <v/>
      </c>
      <c r="B56" s="23" t="str">
        <f>IF('Clockify Raw'!K56="","",VALUE('Clockify Raw'!K56))</f>
        <v/>
      </c>
      <c r="C56" s="23" t="str">
        <f>IF('Clockify Raw'!M56="","",VALUE('Clockify Raw'!M56))</f>
        <v/>
      </c>
      <c r="D56" t="str">
        <f>IF('Clockify Raw'!A56="","",IF(LOWER('Clockify Raw'!A56)="break","Break","Work"))</f>
        <v/>
      </c>
      <c r="E56" t="str">
        <f>IF('Clockify Raw'!A56="","",IF(LOWER('Clockify Raw'!A56)="break","Break",IF('Clockify Raw'!C56&lt;&gt;"",'Clockify Raw'!C56,IF('Clockify Raw'!D56&lt;&gt;"",'Clockify Raw'!D56,'Clockify Raw'!A56))))</f>
        <v/>
      </c>
      <c r="F56" s="24" t="str">
        <f>IF('Clockify Raw'!O56="","",'Clockify Raw'!O56/24)</f>
        <v/>
      </c>
      <c r="G56" t="str">
        <f>IF(A56="","",COUNTIFS($A$2:$A$1000,A56,$B$2:$B$1000,"&lt;"&amp;B56)+COUNTIFS($A$2:A56,A56,$B$2:B56,B56))</f>
        <v/>
      </c>
      <c r="H56" t="str">
        <f t="shared" si="0"/>
        <v/>
      </c>
    </row>
    <row r="57" spans="1:8">
      <c r="A57" s="25" t="str">
        <f>IF('Clockify Raw'!J57="","",'Clockify Raw'!J57)</f>
        <v/>
      </c>
      <c r="B57" s="23" t="str">
        <f>IF('Clockify Raw'!K57="","",VALUE('Clockify Raw'!K57))</f>
        <v/>
      </c>
      <c r="C57" s="23" t="str">
        <f>IF('Clockify Raw'!M57="","",VALUE('Clockify Raw'!M57))</f>
        <v/>
      </c>
      <c r="D57" t="str">
        <f>IF('Clockify Raw'!A57="","",IF(LOWER('Clockify Raw'!A57)="break","Break","Work"))</f>
        <v/>
      </c>
      <c r="E57" t="str">
        <f>IF('Clockify Raw'!A57="","",IF(LOWER('Clockify Raw'!A57)="break","Break",IF('Clockify Raw'!C57&lt;&gt;"",'Clockify Raw'!C57,IF('Clockify Raw'!D57&lt;&gt;"",'Clockify Raw'!D57,'Clockify Raw'!A57))))</f>
        <v/>
      </c>
      <c r="F57" s="24" t="str">
        <f>IF('Clockify Raw'!O57="","",'Clockify Raw'!O57/24)</f>
        <v/>
      </c>
      <c r="G57" t="str">
        <f>IF(A57="","",COUNTIFS($A$2:$A$1000,A57,$B$2:$B$1000,"&lt;"&amp;B57)+COUNTIFS($A$2:A57,A57,$B$2:B57,B57))</f>
        <v/>
      </c>
      <c r="H57" t="str">
        <f t="shared" si="0"/>
        <v/>
      </c>
    </row>
    <row r="58" spans="1:8">
      <c r="A58" s="25" t="str">
        <f>IF('Clockify Raw'!J58="","",'Clockify Raw'!J58)</f>
        <v/>
      </c>
      <c r="B58" s="23" t="str">
        <f>IF('Clockify Raw'!K58="","",VALUE('Clockify Raw'!K58))</f>
        <v/>
      </c>
      <c r="C58" s="23" t="str">
        <f>IF('Clockify Raw'!M58="","",VALUE('Clockify Raw'!M58))</f>
        <v/>
      </c>
      <c r="D58" t="str">
        <f>IF('Clockify Raw'!A58="","",IF(LOWER('Clockify Raw'!A58)="break","Break","Work"))</f>
        <v/>
      </c>
      <c r="E58" t="str">
        <f>IF('Clockify Raw'!A58="","",IF(LOWER('Clockify Raw'!A58)="break","Break",IF('Clockify Raw'!C58&lt;&gt;"",'Clockify Raw'!C58,IF('Clockify Raw'!D58&lt;&gt;"",'Clockify Raw'!D58,'Clockify Raw'!A58))))</f>
        <v/>
      </c>
      <c r="F58" s="24" t="str">
        <f>IF('Clockify Raw'!O58="","",'Clockify Raw'!O58/24)</f>
        <v/>
      </c>
      <c r="G58" t="str">
        <f>IF(A58="","",COUNTIFS($A$2:$A$1000,A58,$B$2:$B$1000,"&lt;"&amp;B58)+COUNTIFS($A$2:A58,A58,$B$2:B58,B58))</f>
        <v/>
      </c>
      <c r="H58" t="str">
        <f t="shared" si="0"/>
        <v/>
      </c>
    </row>
    <row r="59" spans="1:8">
      <c r="A59" s="25" t="str">
        <f>IF('Clockify Raw'!J59="","",'Clockify Raw'!J59)</f>
        <v/>
      </c>
      <c r="B59" s="23" t="str">
        <f>IF('Clockify Raw'!K59="","",VALUE('Clockify Raw'!K59))</f>
        <v/>
      </c>
      <c r="C59" s="23" t="str">
        <f>IF('Clockify Raw'!M59="","",VALUE('Clockify Raw'!M59))</f>
        <v/>
      </c>
      <c r="D59" t="str">
        <f>IF('Clockify Raw'!A59="","",IF(LOWER('Clockify Raw'!A59)="break","Break","Work"))</f>
        <v/>
      </c>
      <c r="E59" t="str">
        <f>IF('Clockify Raw'!A59="","",IF(LOWER('Clockify Raw'!A59)="break","Break",IF('Clockify Raw'!C59&lt;&gt;"",'Clockify Raw'!C59,IF('Clockify Raw'!D59&lt;&gt;"",'Clockify Raw'!D59,'Clockify Raw'!A59))))</f>
        <v/>
      </c>
      <c r="F59" s="24" t="str">
        <f>IF('Clockify Raw'!O59="","",'Clockify Raw'!O59/24)</f>
        <v/>
      </c>
      <c r="G59" t="str">
        <f>IF(A59="","",COUNTIFS($A$2:$A$1000,A59,$B$2:$B$1000,"&lt;"&amp;B59)+COUNTIFS($A$2:A59,A59,$B$2:B59,B59))</f>
        <v/>
      </c>
      <c r="H59" t="str">
        <f t="shared" si="0"/>
        <v/>
      </c>
    </row>
    <row r="60" spans="1:8">
      <c r="A60" s="25" t="str">
        <f>IF('Clockify Raw'!J60="","",'Clockify Raw'!J60)</f>
        <v/>
      </c>
      <c r="B60" s="23" t="str">
        <f>IF('Clockify Raw'!K60="","",VALUE('Clockify Raw'!K60))</f>
        <v/>
      </c>
      <c r="C60" s="23" t="str">
        <f>IF('Clockify Raw'!M60="","",VALUE('Clockify Raw'!M60))</f>
        <v/>
      </c>
      <c r="D60" t="str">
        <f>IF('Clockify Raw'!A60="","",IF(LOWER('Clockify Raw'!A60)="break","Break","Work"))</f>
        <v/>
      </c>
      <c r="E60" t="str">
        <f>IF('Clockify Raw'!A60="","",IF(LOWER('Clockify Raw'!A60)="break","Break",IF('Clockify Raw'!C60&lt;&gt;"",'Clockify Raw'!C60,IF('Clockify Raw'!D60&lt;&gt;"",'Clockify Raw'!D60,'Clockify Raw'!A60))))</f>
        <v/>
      </c>
      <c r="F60" s="24" t="str">
        <f>IF('Clockify Raw'!O60="","",'Clockify Raw'!O60/24)</f>
        <v/>
      </c>
      <c r="G60" t="str">
        <f>IF(A60="","",COUNTIFS($A$2:$A$1000,A60,$B$2:$B$1000,"&lt;"&amp;B60)+COUNTIFS($A$2:A60,A60,$B$2:B60,B60))</f>
        <v/>
      </c>
      <c r="H60" t="str">
        <f t="shared" si="0"/>
        <v/>
      </c>
    </row>
    <row r="61" spans="1:8">
      <c r="A61" s="25" t="str">
        <f>IF('Clockify Raw'!J61="","",'Clockify Raw'!J61)</f>
        <v/>
      </c>
      <c r="B61" s="23" t="str">
        <f>IF('Clockify Raw'!K61="","",VALUE('Clockify Raw'!K61))</f>
        <v/>
      </c>
      <c r="C61" s="23" t="str">
        <f>IF('Clockify Raw'!M61="","",VALUE('Clockify Raw'!M61))</f>
        <v/>
      </c>
      <c r="D61" t="str">
        <f>IF('Clockify Raw'!A61="","",IF(LOWER('Clockify Raw'!A61)="break","Break","Work"))</f>
        <v/>
      </c>
      <c r="E61" t="str">
        <f>IF('Clockify Raw'!A61="","",IF(LOWER('Clockify Raw'!A61)="break","Break",IF('Clockify Raw'!C61&lt;&gt;"",'Clockify Raw'!C61,IF('Clockify Raw'!D61&lt;&gt;"",'Clockify Raw'!D61,'Clockify Raw'!A61))))</f>
        <v/>
      </c>
      <c r="F61" s="24" t="str">
        <f>IF('Clockify Raw'!O61="","",'Clockify Raw'!O61/24)</f>
        <v/>
      </c>
      <c r="G61" t="str">
        <f>IF(A61="","",COUNTIFS($A$2:$A$1000,A61,$B$2:$B$1000,"&lt;"&amp;B61)+COUNTIFS($A$2:A61,A61,$B$2:B61,B61))</f>
        <v/>
      </c>
      <c r="H61" t="str">
        <f t="shared" si="0"/>
        <v/>
      </c>
    </row>
    <row r="62" spans="1:8">
      <c r="A62" s="25" t="str">
        <f>IF('Clockify Raw'!J62="","",'Clockify Raw'!J62)</f>
        <v/>
      </c>
      <c r="B62" s="23" t="str">
        <f>IF('Clockify Raw'!K62="","",VALUE('Clockify Raw'!K62))</f>
        <v/>
      </c>
      <c r="C62" s="23" t="str">
        <f>IF('Clockify Raw'!M62="","",VALUE('Clockify Raw'!M62))</f>
        <v/>
      </c>
      <c r="D62" t="str">
        <f>IF('Clockify Raw'!A62="","",IF(LOWER('Clockify Raw'!A62)="break","Break","Work"))</f>
        <v/>
      </c>
      <c r="E62" t="str">
        <f>IF('Clockify Raw'!A62="","",IF(LOWER('Clockify Raw'!A62)="break","Break",IF('Clockify Raw'!C62&lt;&gt;"",'Clockify Raw'!C62,IF('Clockify Raw'!D62&lt;&gt;"",'Clockify Raw'!D62,'Clockify Raw'!A62))))</f>
        <v/>
      </c>
      <c r="F62" s="24" t="str">
        <f>IF('Clockify Raw'!O62="","",'Clockify Raw'!O62/24)</f>
        <v/>
      </c>
      <c r="G62" t="str">
        <f>IF(A62="","",COUNTIFS($A$2:$A$1000,A62,$B$2:$B$1000,"&lt;"&amp;B62)+COUNTIFS($A$2:A62,A62,$B$2:B62,B62))</f>
        <v/>
      </c>
      <c r="H62" t="str">
        <f t="shared" si="0"/>
        <v/>
      </c>
    </row>
    <row r="63" spans="1:8">
      <c r="A63" s="25" t="str">
        <f>IF('Clockify Raw'!J63="","",'Clockify Raw'!J63)</f>
        <v/>
      </c>
      <c r="B63" s="23" t="str">
        <f>IF('Clockify Raw'!K63="","",VALUE('Clockify Raw'!K63))</f>
        <v/>
      </c>
      <c r="C63" s="23" t="str">
        <f>IF('Clockify Raw'!M63="","",VALUE('Clockify Raw'!M63))</f>
        <v/>
      </c>
      <c r="D63" t="str">
        <f>IF('Clockify Raw'!A63="","",IF(LOWER('Clockify Raw'!A63)="break","Break","Work"))</f>
        <v/>
      </c>
      <c r="E63" t="str">
        <f>IF('Clockify Raw'!A63="","",IF(LOWER('Clockify Raw'!A63)="break","Break",IF('Clockify Raw'!C63&lt;&gt;"",'Clockify Raw'!C63,IF('Clockify Raw'!D63&lt;&gt;"",'Clockify Raw'!D63,'Clockify Raw'!A63))))</f>
        <v/>
      </c>
      <c r="F63" s="24" t="str">
        <f>IF('Clockify Raw'!O63="","",'Clockify Raw'!O63/24)</f>
        <v/>
      </c>
      <c r="G63" t="str">
        <f>IF(A63="","",COUNTIFS($A$2:$A$1000,A63,$B$2:$B$1000,"&lt;"&amp;B63)+COUNTIFS($A$2:A63,A63,$B$2:B63,B63))</f>
        <v/>
      </c>
      <c r="H63" t="str">
        <f t="shared" si="0"/>
        <v/>
      </c>
    </row>
    <row r="64" spans="1:8">
      <c r="A64" s="25" t="str">
        <f>IF('Clockify Raw'!J64="","",'Clockify Raw'!J64)</f>
        <v/>
      </c>
      <c r="B64" s="23" t="str">
        <f>IF('Clockify Raw'!K64="","",VALUE('Clockify Raw'!K64))</f>
        <v/>
      </c>
      <c r="C64" s="23" t="str">
        <f>IF('Clockify Raw'!M64="","",VALUE('Clockify Raw'!M64))</f>
        <v/>
      </c>
      <c r="D64" t="str">
        <f>IF('Clockify Raw'!A64="","",IF(LOWER('Clockify Raw'!A64)="break","Break","Work"))</f>
        <v/>
      </c>
      <c r="E64" t="str">
        <f>IF('Clockify Raw'!A64="","",IF(LOWER('Clockify Raw'!A64)="break","Break",IF('Clockify Raw'!C64&lt;&gt;"",'Clockify Raw'!C64,IF('Clockify Raw'!D64&lt;&gt;"",'Clockify Raw'!D64,'Clockify Raw'!A64))))</f>
        <v/>
      </c>
      <c r="F64" s="24" t="str">
        <f>IF('Clockify Raw'!O64="","",'Clockify Raw'!O64/24)</f>
        <v/>
      </c>
      <c r="G64" t="str">
        <f>IF(A64="","",COUNTIFS($A$2:$A$1000,A64,$B$2:$B$1000,"&lt;"&amp;B64)+COUNTIFS($A$2:A64,A64,$B$2:B64,B64))</f>
        <v/>
      </c>
      <c r="H64" t="str">
        <f t="shared" si="0"/>
        <v/>
      </c>
    </row>
    <row r="65" spans="1:8">
      <c r="A65" s="25" t="str">
        <f>IF('Clockify Raw'!J65="","",'Clockify Raw'!J65)</f>
        <v/>
      </c>
      <c r="B65" s="23" t="str">
        <f>IF('Clockify Raw'!K65="","",VALUE('Clockify Raw'!K65))</f>
        <v/>
      </c>
      <c r="C65" s="23" t="str">
        <f>IF('Clockify Raw'!M65="","",VALUE('Clockify Raw'!M65))</f>
        <v/>
      </c>
      <c r="D65" t="str">
        <f>IF('Clockify Raw'!A65="","",IF(LOWER('Clockify Raw'!A65)="break","Break","Work"))</f>
        <v/>
      </c>
      <c r="E65" t="str">
        <f>IF('Clockify Raw'!A65="","",IF(LOWER('Clockify Raw'!A65)="break","Break",IF('Clockify Raw'!C65&lt;&gt;"",'Clockify Raw'!C65,IF('Clockify Raw'!D65&lt;&gt;"",'Clockify Raw'!D65,'Clockify Raw'!A65))))</f>
        <v/>
      </c>
      <c r="F65" s="24" t="str">
        <f>IF('Clockify Raw'!O65="","",'Clockify Raw'!O65/24)</f>
        <v/>
      </c>
      <c r="G65" t="str">
        <f>IF(A65="","",COUNTIFS($A$2:$A$1000,A65,$B$2:$B$1000,"&lt;"&amp;B65)+COUNTIFS($A$2:A65,A65,$B$2:B65,B65))</f>
        <v/>
      </c>
      <c r="H65" t="str">
        <f t="shared" si="0"/>
        <v/>
      </c>
    </row>
    <row r="66" spans="1:8">
      <c r="A66" s="25" t="str">
        <f>IF('Clockify Raw'!J66="","",'Clockify Raw'!J66)</f>
        <v/>
      </c>
      <c r="B66" s="23" t="str">
        <f>IF('Clockify Raw'!K66="","",VALUE('Clockify Raw'!K66))</f>
        <v/>
      </c>
      <c r="C66" s="23" t="str">
        <f>IF('Clockify Raw'!M66="","",VALUE('Clockify Raw'!M66))</f>
        <v/>
      </c>
      <c r="D66" t="str">
        <f>IF('Clockify Raw'!A66="","",IF(LOWER('Clockify Raw'!A66)="break","Break","Work"))</f>
        <v/>
      </c>
      <c r="E66" t="str">
        <f>IF('Clockify Raw'!A66="","",IF(LOWER('Clockify Raw'!A66)="break","Break",IF('Clockify Raw'!C66&lt;&gt;"",'Clockify Raw'!C66,IF('Clockify Raw'!D66&lt;&gt;"",'Clockify Raw'!D66,'Clockify Raw'!A66))))</f>
        <v/>
      </c>
      <c r="F66" s="24" t="str">
        <f>IF('Clockify Raw'!O66="","",'Clockify Raw'!O66/24)</f>
        <v/>
      </c>
      <c r="G66" t="str">
        <f>IF(A66="","",COUNTIFS($A$2:$A$1000,A66,$B$2:$B$1000,"&lt;"&amp;B66)+COUNTIFS($A$2:A66,A66,$B$2:B66,B66))</f>
        <v/>
      </c>
      <c r="H66" t="str">
        <f t="shared" ref="H66:H129" si="1">IF(A66="","",TEXT(A66,"yyyymmdd")&amp;"|"&amp;G66)</f>
        <v/>
      </c>
    </row>
    <row r="67" spans="1:8">
      <c r="A67" s="25" t="str">
        <f>IF('Clockify Raw'!J67="","",'Clockify Raw'!J67)</f>
        <v/>
      </c>
      <c r="B67" s="23" t="str">
        <f>IF('Clockify Raw'!K67="","",VALUE('Clockify Raw'!K67))</f>
        <v/>
      </c>
      <c r="C67" s="23" t="str">
        <f>IF('Clockify Raw'!M67="","",VALUE('Clockify Raw'!M67))</f>
        <v/>
      </c>
      <c r="D67" t="str">
        <f>IF('Clockify Raw'!A67="","",IF(LOWER('Clockify Raw'!A67)="break","Break","Work"))</f>
        <v/>
      </c>
      <c r="E67" t="str">
        <f>IF('Clockify Raw'!A67="","",IF(LOWER('Clockify Raw'!A67)="break","Break",IF('Clockify Raw'!C67&lt;&gt;"",'Clockify Raw'!C67,IF('Clockify Raw'!D67&lt;&gt;"",'Clockify Raw'!D67,'Clockify Raw'!A67))))</f>
        <v/>
      </c>
      <c r="F67" s="24" t="str">
        <f>IF('Clockify Raw'!O67="","",'Clockify Raw'!O67/24)</f>
        <v/>
      </c>
      <c r="G67" t="str">
        <f>IF(A67="","",COUNTIFS($A$2:$A$1000,A67,$B$2:$B$1000,"&lt;"&amp;B67)+COUNTIFS($A$2:A67,A67,$B$2:B67,B67))</f>
        <v/>
      </c>
      <c r="H67" t="str">
        <f t="shared" si="1"/>
        <v/>
      </c>
    </row>
    <row r="68" spans="1:8">
      <c r="A68" s="25" t="str">
        <f>IF('Clockify Raw'!J68="","",'Clockify Raw'!J68)</f>
        <v/>
      </c>
      <c r="B68" s="23" t="str">
        <f>IF('Clockify Raw'!K68="","",VALUE('Clockify Raw'!K68))</f>
        <v/>
      </c>
      <c r="C68" s="23" t="str">
        <f>IF('Clockify Raw'!M68="","",VALUE('Clockify Raw'!M68))</f>
        <v/>
      </c>
      <c r="D68" t="str">
        <f>IF('Clockify Raw'!A68="","",IF(LOWER('Clockify Raw'!A68)="break","Break","Work"))</f>
        <v/>
      </c>
      <c r="E68" t="str">
        <f>IF('Clockify Raw'!A68="","",IF(LOWER('Clockify Raw'!A68)="break","Break",IF('Clockify Raw'!C68&lt;&gt;"",'Clockify Raw'!C68,IF('Clockify Raw'!D68&lt;&gt;"",'Clockify Raw'!D68,'Clockify Raw'!A68))))</f>
        <v/>
      </c>
      <c r="F68" s="24" t="str">
        <f>IF('Clockify Raw'!O68="","",'Clockify Raw'!O68/24)</f>
        <v/>
      </c>
      <c r="G68" t="str">
        <f>IF(A68="","",COUNTIFS($A$2:$A$1000,A68,$B$2:$B$1000,"&lt;"&amp;B68)+COUNTIFS($A$2:A68,A68,$B$2:B68,B68))</f>
        <v/>
      </c>
      <c r="H68" t="str">
        <f t="shared" si="1"/>
        <v/>
      </c>
    </row>
    <row r="69" spans="1:8">
      <c r="A69" s="25" t="str">
        <f>IF('Clockify Raw'!J69="","",'Clockify Raw'!J69)</f>
        <v/>
      </c>
      <c r="B69" s="23" t="str">
        <f>IF('Clockify Raw'!K69="","",VALUE('Clockify Raw'!K69))</f>
        <v/>
      </c>
      <c r="C69" s="23" t="str">
        <f>IF('Clockify Raw'!M69="","",VALUE('Clockify Raw'!M69))</f>
        <v/>
      </c>
      <c r="D69" t="str">
        <f>IF('Clockify Raw'!A69="","",IF(LOWER('Clockify Raw'!A69)="break","Break","Work"))</f>
        <v/>
      </c>
      <c r="E69" t="str">
        <f>IF('Clockify Raw'!A69="","",IF(LOWER('Clockify Raw'!A69)="break","Break",IF('Clockify Raw'!C69&lt;&gt;"",'Clockify Raw'!C69,IF('Clockify Raw'!D69&lt;&gt;"",'Clockify Raw'!D69,'Clockify Raw'!A69))))</f>
        <v/>
      </c>
      <c r="F69" s="24" t="str">
        <f>IF('Clockify Raw'!O69="","",'Clockify Raw'!O69/24)</f>
        <v/>
      </c>
      <c r="G69" t="str">
        <f>IF(A69="","",COUNTIFS($A$2:$A$1000,A69,$B$2:$B$1000,"&lt;"&amp;B69)+COUNTIFS($A$2:A69,A69,$B$2:B69,B69))</f>
        <v/>
      </c>
      <c r="H69" t="str">
        <f t="shared" si="1"/>
        <v/>
      </c>
    </row>
    <row r="70" spans="1:8">
      <c r="A70" s="25" t="str">
        <f>IF('Clockify Raw'!J70="","",'Clockify Raw'!J70)</f>
        <v/>
      </c>
      <c r="B70" s="23" t="str">
        <f>IF('Clockify Raw'!K70="","",VALUE('Clockify Raw'!K70))</f>
        <v/>
      </c>
      <c r="C70" s="23" t="str">
        <f>IF('Clockify Raw'!M70="","",VALUE('Clockify Raw'!M70))</f>
        <v/>
      </c>
      <c r="D70" t="str">
        <f>IF('Clockify Raw'!A70="","",IF(LOWER('Clockify Raw'!A70)="break","Break","Work"))</f>
        <v/>
      </c>
      <c r="E70" t="str">
        <f>IF('Clockify Raw'!A70="","",IF(LOWER('Clockify Raw'!A70)="break","Break",IF('Clockify Raw'!C70&lt;&gt;"",'Clockify Raw'!C70,IF('Clockify Raw'!D70&lt;&gt;"",'Clockify Raw'!D70,'Clockify Raw'!A70))))</f>
        <v/>
      </c>
      <c r="F70" s="24" t="str">
        <f>IF('Clockify Raw'!O70="","",'Clockify Raw'!O70/24)</f>
        <v/>
      </c>
      <c r="G70" t="str">
        <f>IF(A70="","",COUNTIFS($A$2:$A$1000,A70,$B$2:$B$1000,"&lt;"&amp;B70)+COUNTIFS($A$2:A70,A70,$B$2:B70,B70))</f>
        <v/>
      </c>
      <c r="H70" t="str">
        <f t="shared" si="1"/>
        <v/>
      </c>
    </row>
    <row r="71" spans="1:8">
      <c r="A71" s="25" t="str">
        <f>IF('Clockify Raw'!J71="","",'Clockify Raw'!J71)</f>
        <v/>
      </c>
      <c r="B71" s="23" t="str">
        <f>IF('Clockify Raw'!K71="","",VALUE('Clockify Raw'!K71))</f>
        <v/>
      </c>
      <c r="C71" s="23" t="str">
        <f>IF('Clockify Raw'!M71="","",VALUE('Clockify Raw'!M71))</f>
        <v/>
      </c>
      <c r="D71" t="str">
        <f>IF('Clockify Raw'!A71="","",IF(LOWER('Clockify Raw'!A71)="break","Break","Work"))</f>
        <v/>
      </c>
      <c r="E71" t="str">
        <f>IF('Clockify Raw'!A71="","",IF(LOWER('Clockify Raw'!A71)="break","Break",IF('Clockify Raw'!C71&lt;&gt;"",'Clockify Raw'!C71,IF('Clockify Raw'!D71&lt;&gt;"",'Clockify Raw'!D71,'Clockify Raw'!A71))))</f>
        <v/>
      </c>
      <c r="F71" s="24" t="str">
        <f>IF('Clockify Raw'!O71="","",'Clockify Raw'!O71/24)</f>
        <v/>
      </c>
      <c r="G71" t="str">
        <f>IF(A71="","",COUNTIFS($A$2:$A$1000,A71,$B$2:$B$1000,"&lt;"&amp;B71)+COUNTIFS($A$2:A71,A71,$B$2:B71,B71))</f>
        <v/>
      </c>
      <c r="H71" t="str">
        <f t="shared" si="1"/>
        <v/>
      </c>
    </row>
    <row r="72" spans="1:8">
      <c r="A72" s="25" t="str">
        <f>IF('Clockify Raw'!J72="","",'Clockify Raw'!J72)</f>
        <v/>
      </c>
      <c r="B72" s="23" t="str">
        <f>IF('Clockify Raw'!K72="","",VALUE('Clockify Raw'!K72))</f>
        <v/>
      </c>
      <c r="C72" s="23" t="str">
        <f>IF('Clockify Raw'!M72="","",VALUE('Clockify Raw'!M72))</f>
        <v/>
      </c>
      <c r="D72" t="str">
        <f>IF('Clockify Raw'!A72="","",IF(LOWER('Clockify Raw'!A72)="break","Break","Work"))</f>
        <v/>
      </c>
      <c r="E72" t="str">
        <f>IF('Clockify Raw'!A72="","",IF(LOWER('Clockify Raw'!A72)="break","Break",IF('Clockify Raw'!C72&lt;&gt;"",'Clockify Raw'!C72,IF('Clockify Raw'!D72&lt;&gt;"",'Clockify Raw'!D72,'Clockify Raw'!A72))))</f>
        <v/>
      </c>
      <c r="F72" s="24" t="str">
        <f>IF('Clockify Raw'!O72="","",'Clockify Raw'!O72/24)</f>
        <v/>
      </c>
      <c r="G72" t="str">
        <f>IF(A72="","",COUNTIFS($A$2:$A$1000,A72,$B$2:$B$1000,"&lt;"&amp;B72)+COUNTIFS($A$2:A72,A72,$B$2:B72,B72))</f>
        <v/>
      </c>
      <c r="H72" t="str">
        <f t="shared" si="1"/>
        <v/>
      </c>
    </row>
    <row r="73" spans="1:8">
      <c r="A73" s="25" t="str">
        <f>IF('Clockify Raw'!J73="","",'Clockify Raw'!J73)</f>
        <v/>
      </c>
      <c r="B73" s="23" t="str">
        <f>IF('Clockify Raw'!K73="","",VALUE('Clockify Raw'!K73))</f>
        <v/>
      </c>
      <c r="C73" s="23" t="str">
        <f>IF('Clockify Raw'!M73="","",VALUE('Clockify Raw'!M73))</f>
        <v/>
      </c>
      <c r="D73" t="str">
        <f>IF('Clockify Raw'!A73="","",IF(LOWER('Clockify Raw'!A73)="break","Break","Work"))</f>
        <v/>
      </c>
      <c r="E73" t="str">
        <f>IF('Clockify Raw'!A73="","",IF(LOWER('Clockify Raw'!A73)="break","Break",IF('Clockify Raw'!C73&lt;&gt;"",'Clockify Raw'!C73,IF('Clockify Raw'!D73&lt;&gt;"",'Clockify Raw'!D73,'Clockify Raw'!A73))))</f>
        <v/>
      </c>
      <c r="F73" s="24" t="str">
        <f>IF('Clockify Raw'!O73="","",'Clockify Raw'!O73/24)</f>
        <v/>
      </c>
      <c r="G73" t="str">
        <f>IF(A73="","",COUNTIFS($A$2:$A$1000,A73,$B$2:$B$1000,"&lt;"&amp;B73)+COUNTIFS($A$2:A73,A73,$B$2:B73,B73))</f>
        <v/>
      </c>
      <c r="H73" t="str">
        <f t="shared" si="1"/>
        <v/>
      </c>
    </row>
    <row r="74" spans="1:8">
      <c r="A74" s="25" t="str">
        <f>IF('Clockify Raw'!J74="","",'Clockify Raw'!J74)</f>
        <v/>
      </c>
      <c r="B74" s="23" t="str">
        <f>IF('Clockify Raw'!K74="","",VALUE('Clockify Raw'!K74))</f>
        <v/>
      </c>
      <c r="C74" s="23" t="str">
        <f>IF('Clockify Raw'!M74="","",VALUE('Clockify Raw'!M74))</f>
        <v/>
      </c>
      <c r="D74" t="str">
        <f>IF('Clockify Raw'!A74="","",IF(LOWER('Clockify Raw'!A74)="break","Break","Work"))</f>
        <v/>
      </c>
      <c r="E74" t="str">
        <f>IF('Clockify Raw'!A74="","",IF(LOWER('Clockify Raw'!A74)="break","Break",IF('Clockify Raw'!C74&lt;&gt;"",'Clockify Raw'!C74,IF('Clockify Raw'!D74&lt;&gt;"",'Clockify Raw'!D74,'Clockify Raw'!A74))))</f>
        <v/>
      </c>
      <c r="F74" s="24" t="str">
        <f>IF('Clockify Raw'!O74="","",'Clockify Raw'!O74/24)</f>
        <v/>
      </c>
      <c r="G74" t="str">
        <f>IF(A74="","",COUNTIFS($A$2:$A$1000,A74,$B$2:$B$1000,"&lt;"&amp;B74)+COUNTIFS($A$2:A74,A74,$B$2:B74,B74))</f>
        <v/>
      </c>
      <c r="H74" t="str">
        <f t="shared" si="1"/>
        <v/>
      </c>
    </row>
    <row r="75" spans="1:8">
      <c r="A75" s="25" t="str">
        <f>IF('Clockify Raw'!J75="","",'Clockify Raw'!J75)</f>
        <v/>
      </c>
      <c r="B75" s="23" t="str">
        <f>IF('Clockify Raw'!K75="","",VALUE('Clockify Raw'!K75))</f>
        <v/>
      </c>
      <c r="C75" s="23" t="str">
        <f>IF('Clockify Raw'!M75="","",VALUE('Clockify Raw'!M75))</f>
        <v/>
      </c>
      <c r="D75" t="str">
        <f>IF('Clockify Raw'!A75="","",IF(LOWER('Clockify Raw'!A75)="break","Break","Work"))</f>
        <v/>
      </c>
      <c r="E75" t="str">
        <f>IF('Clockify Raw'!A75="","",IF(LOWER('Clockify Raw'!A75)="break","Break",IF('Clockify Raw'!C75&lt;&gt;"",'Clockify Raw'!C75,IF('Clockify Raw'!D75&lt;&gt;"",'Clockify Raw'!D75,'Clockify Raw'!A75))))</f>
        <v/>
      </c>
      <c r="F75" s="24" t="str">
        <f>IF('Clockify Raw'!O75="","",'Clockify Raw'!O75/24)</f>
        <v/>
      </c>
      <c r="G75" t="str">
        <f>IF(A75="","",COUNTIFS($A$2:$A$1000,A75,$B$2:$B$1000,"&lt;"&amp;B75)+COUNTIFS($A$2:A75,A75,$B$2:B75,B75))</f>
        <v/>
      </c>
      <c r="H75" t="str">
        <f t="shared" si="1"/>
        <v/>
      </c>
    </row>
    <row r="76" spans="1:8">
      <c r="A76" s="25" t="str">
        <f>IF('Clockify Raw'!J76="","",'Clockify Raw'!J76)</f>
        <v/>
      </c>
      <c r="B76" s="23" t="str">
        <f>IF('Clockify Raw'!K76="","",VALUE('Clockify Raw'!K76))</f>
        <v/>
      </c>
      <c r="C76" s="23" t="str">
        <f>IF('Clockify Raw'!M76="","",VALUE('Clockify Raw'!M76))</f>
        <v/>
      </c>
      <c r="D76" t="str">
        <f>IF('Clockify Raw'!A76="","",IF(LOWER('Clockify Raw'!A76)="break","Break","Work"))</f>
        <v/>
      </c>
      <c r="E76" t="str">
        <f>IF('Clockify Raw'!A76="","",IF(LOWER('Clockify Raw'!A76)="break","Break",IF('Clockify Raw'!C76&lt;&gt;"",'Clockify Raw'!C76,IF('Clockify Raw'!D76&lt;&gt;"",'Clockify Raw'!D76,'Clockify Raw'!A76))))</f>
        <v/>
      </c>
      <c r="F76" s="24" t="str">
        <f>IF('Clockify Raw'!O76="","",'Clockify Raw'!O76/24)</f>
        <v/>
      </c>
      <c r="G76" t="str">
        <f>IF(A76="","",COUNTIFS($A$2:$A$1000,A76,$B$2:$B$1000,"&lt;"&amp;B76)+COUNTIFS($A$2:A76,A76,$B$2:B76,B76))</f>
        <v/>
      </c>
      <c r="H76" t="str">
        <f t="shared" si="1"/>
        <v/>
      </c>
    </row>
    <row r="77" spans="1:8">
      <c r="A77" s="25" t="str">
        <f>IF('Clockify Raw'!J77="","",'Clockify Raw'!J77)</f>
        <v/>
      </c>
      <c r="B77" s="23" t="str">
        <f>IF('Clockify Raw'!K77="","",VALUE('Clockify Raw'!K77))</f>
        <v/>
      </c>
      <c r="C77" s="23" t="str">
        <f>IF('Clockify Raw'!M77="","",VALUE('Clockify Raw'!M77))</f>
        <v/>
      </c>
      <c r="D77" t="str">
        <f>IF('Clockify Raw'!A77="","",IF(LOWER('Clockify Raw'!A77)="break","Break","Work"))</f>
        <v/>
      </c>
      <c r="E77" t="str">
        <f>IF('Clockify Raw'!A77="","",IF(LOWER('Clockify Raw'!A77)="break","Break",IF('Clockify Raw'!C77&lt;&gt;"",'Clockify Raw'!C77,IF('Clockify Raw'!D77&lt;&gt;"",'Clockify Raw'!D77,'Clockify Raw'!A77))))</f>
        <v/>
      </c>
      <c r="F77" s="24" t="str">
        <f>IF('Clockify Raw'!O77="","",'Clockify Raw'!O77/24)</f>
        <v/>
      </c>
      <c r="G77" t="str">
        <f>IF(A77="","",COUNTIFS($A$2:$A$1000,A77,$B$2:$B$1000,"&lt;"&amp;B77)+COUNTIFS($A$2:A77,A77,$B$2:B77,B77))</f>
        <v/>
      </c>
      <c r="H77" t="str">
        <f t="shared" si="1"/>
        <v/>
      </c>
    </row>
    <row r="78" spans="1:8">
      <c r="A78" s="25" t="str">
        <f>IF('Clockify Raw'!J78="","",'Clockify Raw'!J78)</f>
        <v/>
      </c>
      <c r="B78" s="23" t="str">
        <f>IF('Clockify Raw'!K78="","",VALUE('Clockify Raw'!K78))</f>
        <v/>
      </c>
      <c r="C78" s="23" t="str">
        <f>IF('Clockify Raw'!M78="","",VALUE('Clockify Raw'!M78))</f>
        <v/>
      </c>
      <c r="D78" t="str">
        <f>IF('Clockify Raw'!A78="","",IF(LOWER('Clockify Raw'!A78)="break","Break","Work"))</f>
        <v/>
      </c>
      <c r="E78" t="str">
        <f>IF('Clockify Raw'!A78="","",IF(LOWER('Clockify Raw'!A78)="break","Break",IF('Clockify Raw'!C78&lt;&gt;"",'Clockify Raw'!C78,IF('Clockify Raw'!D78&lt;&gt;"",'Clockify Raw'!D78,'Clockify Raw'!A78))))</f>
        <v/>
      </c>
      <c r="F78" s="24" t="str">
        <f>IF('Clockify Raw'!O78="","",'Clockify Raw'!O78/24)</f>
        <v/>
      </c>
      <c r="G78" t="str">
        <f>IF(A78="","",COUNTIFS($A$2:$A$1000,A78,$B$2:$B$1000,"&lt;"&amp;B78)+COUNTIFS($A$2:A78,A78,$B$2:B78,B78))</f>
        <v/>
      </c>
      <c r="H78" t="str">
        <f t="shared" si="1"/>
        <v/>
      </c>
    </row>
    <row r="79" spans="1:8">
      <c r="A79" s="25" t="str">
        <f>IF('Clockify Raw'!J79="","",'Clockify Raw'!J79)</f>
        <v/>
      </c>
      <c r="B79" s="23" t="str">
        <f>IF('Clockify Raw'!K79="","",VALUE('Clockify Raw'!K79))</f>
        <v/>
      </c>
      <c r="C79" s="23" t="str">
        <f>IF('Clockify Raw'!M79="","",VALUE('Clockify Raw'!M79))</f>
        <v/>
      </c>
      <c r="D79" t="str">
        <f>IF('Clockify Raw'!A79="","",IF(LOWER('Clockify Raw'!A79)="break","Break","Work"))</f>
        <v/>
      </c>
      <c r="E79" t="str">
        <f>IF('Clockify Raw'!A79="","",IF(LOWER('Clockify Raw'!A79)="break","Break",IF('Clockify Raw'!C79&lt;&gt;"",'Clockify Raw'!C79,IF('Clockify Raw'!D79&lt;&gt;"",'Clockify Raw'!D79,'Clockify Raw'!A79))))</f>
        <v/>
      </c>
      <c r="F79" s="24" t="str">
        <f>IF('Clockify Raw'!O79="","",'Clockify Raw'!O79/24)</f>
        <v/>
      </c>
      <c r="G79" t="str">
        <f>IF(A79="","",COUNTIFS($A$2:$A$1000,A79,$B$2:$B$1000,"&lt;"&amp;B79)+COUNTIFS($A$2:A79,A79,$B$2:B79,B79))</f>
        <v/>
      </c>
      <c r="H79" t="str">
        <f t="shared" si="1"/>
        <v/>
      </c>
    </row>
    <row r="80" spans="1:8">
      <c r="A80" s="25" t="str">
        <f>IF('Clockify Raw'!J80="","",'Clockify Raw'!J80)</f>
        <v/>
      </c>
      <c r="B80" s="23" t="str">
        <f>IF('Clockify Raw'!K80="","",VALUE('Clockify Raw'!K80))</f>
        <v/>
      </c>
      <c r="C80" s="23" t="str">
        <f>IF('Clockify Raw'!M80="","",VALUE('Clockify Raw'!M80))</f>
        <v/>
      </c>
      <c r="D80" t="str">
        <f>IF('Clockify Raw'!A80="","",IF(LOWER('Clockify Raw'!A80)="break","Break","Work"))</f>
        <v/>
      </c>
      <c r="E80" t="str">
        <f>IF('Clockify Raw'!A80="","",IF(LOWER('Clockify Raw'!A80)="break","Break",IF('Clockify Raw'!C80&lt;&gt;"",'Clockify Raw'!C80,IF('Clockify Raw'!D80&lt;&gt;"",'Clockify Raw'!D80,'Clockify Raw'!A80))))</f>
        <v/>
      </c>
      <c r="F80" s="24" t="str">
        <f>IF('Clockify Raw'!O80="","",'Clockify Raw'!O80/24)</f>
        <v/>
      </c>
      <c r="G80" t="str">
        <f>IF(A80="","",COUNTIFS($A$2:$A$1000,A80,$B$2:$B$1000,"&lt;"&amp;B80)+COUNTIFS($A$2:A80,A80,$B$2:B80,B80))</f>
        <v/>
      </c>
      <c r="H80" t="str">
        <f t="shared" si="1"/>
        <v/>
      </c>
    </row>
    <row r="81" spans="1:8">
      <c r="A81" s="25" t="str">
        <f>IF('Clockify Raw'!J81="","",'Clockify Raw'!J81)</f>
        <v/>
      </c>
      <c r="B81" s="23" t="str">
        <f>IF('Clockify Raw'!K81="","",VALUE('Clockify Raw'!K81))</f>
        <v/>
      </c>
      <c r="C81" s="23" t="str">
        <f>IF('Clockify Raw'!M81="","",VALUE('Clockify Raw'!M81))</f>
        <v/>
      </c>
      <c r="D81" t="str">
        <f>IF('Clockify Raw'!A81="","",IF(LOWER('Clockify Raw'!A81)="break","Break","Work"))</f>
        <v/>
      </c>
      <c r="E81" t="str">
        <f>IF('Clockify Raw'!A81="","",IF(LOWER('Clockify Raw'!A81)="break","Break",IF('Clockify Raw'!C81&lt;&gt;"",'Clockify Raw'!C81,IF('Clockify Raw'!D81&lt;&gt;"",'Clockify Raw'!D81,'Clockify Raw'!A81))))</f>
        <v/>
      </c>
      <c r="F81" s="24" t="str">
        <f>IF('Clockify Raw'!O81="","",'Clockify Raw'!O81/24)</f>
        <v/>
      </c>
      <c r="G81" t="str">
        <f>IF(A81="","",COUNTIFS($A$2:$A$1000,A81,$B$2:$B$1000,"&lt;"&amp;B81)+COUNTIFS($A$2:A81,A81,$B$2:B81,B81))</f>
        <v/>
      </c>
      <c r="H81" t="str">
        <f t="shared" si="1"/>
        <v/>
      </c>
    </row>
    <row r="82" spans="1:8">
      <c r="A82" s="25" t="str">
        <f>IF('Clockify Raw'!J82="","",'Clockify Raw'!J82)</f>
        <v/>
      </c>
      <c r="B82" s="23" t="str">
        <f>IF('Clockify Raw'!K82="","",VALUE('Clockify Raw'!K82))</f>
        <v/>
      </c>
      <c r="C82" s="23" t="str">
        <f>IF('Clockify Raw'!M82="","",VALUE('Clockify Raw'!M82))</f>
        <v/>
      </c>
      <c r="D82" t="str">
        <f>IF('Clockify Raw'!A82="","",IF(LOWER('Clockify Raw'!A82)="break","Break","Work"))</f>
        <v/>
      </c>
      <c r="E82" t="str">
        <f>IF('Clockify Raw'!A82="","",IF(LOWER('Clockify Raw'!A82)="break","Break",IF('Clockify Raw'!C82&lt;&gt;"",'Clockify Raw'!C82,IF('Clockify Raw'!D82&lt;&gt;"",'Clockify Raw'!D82,'Clockify Raw'!A82))))</f>
        <v/>
      </c>
      <c r="F82" s="24" t="str">
        <f>IF('Clockify Raw'!O82="","",'Clockify Raw'!O82/24)</f>
        <v/>
      </c>
      <c r="G82" t="str">
        <f>IF(A82="","",COUNTIFS($A$2:$A$1000,A82,$B$2:$B$1000,"&lt;"&amp;B82)+COUNTIFS($A$2:A82,A82,$B$2:B82,B82))</f>
        <v/>
      </c>
      <c r="H82" t="str">
        <f t="shared" si="1"/>
        <v/>
      </c>
    </row>
    <row r="83" spans="1:8">
      <c r="A83" s="25" t="str">
        <f>IF('Clockify Raw'!J83="","",'Clockify Raw'!J83)</f>
        <v/>
      </c>
      <c r="B83" s="23" t="str">
        <f>IF('Clockify Raw'!K83="","",VALUE('Clockify Raw'!K83))</f>
        <v/>
      </c>
      <c r="C83" s="23" t="str">
        <f>IF('Clockify Raw'!M83="","",VALUE('Clockify Raw'!M83))</f>
        <v/>
      </c>
      <c r="D83" t="str">
        <f>IF('Clockify Raw'!A83="","",IF(LOWER('Clockify Raw'!A83)="break","Break","Work"))</f>
        <v/>
      </c>
      <c r="E83" t="str">
        <f>IF('Clockify Raw'!A83="","",IF(LOWER('Clockify Raw'!A83)="break","Break",IF('Clockify Raw'!C83&lt;&gt;"",'Clockify Raw'!C83,IF('Clockify Raw'!D83&lt;&gt;"",'Clockify Raw'!D83,'Clockify Raw'!A83))))</f>
        <v/>
      </c>
      <c r="F83" s="24" t="str">
        <f>IF('Clockify Raw'!O83="","",'Clockify Raw'!O83/24)</f>
        <v/>
      </c>
      <c r="G83" t="str">
        <f>IF(A83="","",COUNTIFS($A$2:$A$1000,A83,$B$2:$B$1000,"&lt;"&amp;B83)+COUNTIFS($A$2:A83,A83,$B$2:B83,B83))</f>
        <v/>
      </c>
      <c r="H83" t="str">
        <f t="shared" si="1"/>
        <v/>
      </c>
    </row>
    <row r="84" spans="1:8">
      <c r="A84" s="25" t="str">
        <f>IF('Clockify Raw'!J84="","",'Clockify Raw'!J84)</f>
        <v/>
      </c>
      <c r="B84" s="23" t="str">
        <f>IF('Clockify Raw'!K84="","",VALUE('Clockify Raw'!K84))</f>
        <v/>
      </c>
      <c r="C84" s="23" t="str">
        <f>IF('Clockify Raw'!M84="","",VALUE('Clockify Raw'!M84))</f>
        <v/>
      </c>
      <c r="D84" t="str">
        <f>IF('Clockify Raw'!A84="","",IF(LOWER('Clockify Raw'!A84)="break","Break","Work"))</f>
        <v/>
      </c>
      <c r="E84" t="str">
        <f>IF('Clockify Raw'!A84="","",IF(LOWER('Clockify Raw'!A84)="break","Break",IF('Clockify Raw'!C84&lt;&gt;"",'Clockify Raw'!C84,IF('Clockify Raw'!D84&lt;&gt;"",'Clockify Raw'!D84,'Clockify Raw'!A84))))</f>
        <v/>
      </c>
      <c r="F84" s="24" t="str">
        <f>IF('Clockify Raw'!O84="","",'Clockify Raw'!O84/24)</f>
        <v/>
      </c>
      <c r="G84" t="str">
        <f>IF(A84="","",COUNTIFS($A$2:$A$1000,A84,$B$2:$B$1000,"&lt;"&amp;B84)+COUNTIFS($A$2:A84,A84,$B$2:B84,B84))</f>
        <v/>
      </c>
      <c r="H84" t="str">
        <f t="shared" si="1"/>
        <v/>
      </c>
    </row>
    <row r="85" spans="1:8">
      <c r="A85" s="25" t="str">
        <f>IF('Clockify Raw'!J85="","",'Clockify Raw'!J85)</f>
        <v/>
      </c>
      <c r="B85" s="23" t="str">
        <f>IF('Clockify Raw'!K85="","",VALUE('Clockify Raw'!K85))</f>
        <v/>
      </c>
      <c r="C85" s="23" t="str">
        <f>IF('Clockify Raw'!M85="","",VALUE('Clockify Raw'!M85))</f>
        <v/>
      </c>
      <c r="D85" t="str">
        <f>IF('Clockify Raw'!A85="","",IF(LOWER('Clockify Raw'!A85)="break","Break","Work"))</f>
        <v/>
      </c>
      <c r="E85" t="str">
        <f>IF('Clockify Raw'!A85="","",IF(LOWER('Clockify Raw'!A85)="break","Break",IF('Clockify Raw'!C85&lt;&gt;"",'Clockify Raw'!C85,IF('Clockify Raw'!D85&lt;&gt;"",'Clockify Raw'!D85,'Clockify Raw'!A85))))</f>
        <v/>
      </c>
      <c r="F85" s="24" t="str">
        <f>IF('Clockify Raw'!O85="","",'Clockify Raw'!O85/24)</f>
        <v/>
      </c>
      <c r="G85" t="str">
        <f>IF(A85="","",COUNTIFS($A$2:$A$1000,A85,$B$2:$B$1000,"&lt;"&amp;B85)+COUNTIFS($A$2:A85,A85,$B$2:B85,B85))</f>
        <v/>
      </c>
      <c r="H85" t="str">
        <f t="shared" si="1"/>
        <v/>
      </c>
    </row>
    <row r="86" spans="1:8">
      <c r="A86" s="25" t="str">
        <f>IF('Clockify Raw'!J86="","",'Clockify Raw'!J86)</f>
        <v/>
      </c>
      <c r="B86" s="23" t="str">
        <f>IF('Clockify Raw'!K86="","",VALUE('Clockify Raw'!K86))</f>
        <v/>
      </c>
      <c r="C86" s="23" t="str">
        <f>IF('Clockify Raw'!M86="","",VALUE('Clockify Raw'!M86))</f>
        <v/>
      </c>
      <c r="D86" t="str">
        <f>IF('Clockify Raw'!A86="","",IF(LOWER('Clockify Raw'!A86)="break","Break","Work"))</f>
        <v/>
      </c>
      <c r="E86" t="str">
        <f>IF('Clockify Raw'!A86="","",IF(LOWER('Clockify Raw'!A86)="break","Break",IF('Clockify Raw'!C86&lt;&gt;"",'Clockify Raw'!C86,IF('Clockify Raw'!D86&lt;&gt;"",'Clockify Raw'!D86,'Clockify Raw'!A86))))</f>
        <v/>
      </c>
      <c r="F86" s="24" t="str">
        <f>IF('Clockify Raw'!O86="","",'Clockify Raw'!O86/24)</f>
        <v/>
      </c>
      <c r="G86" t="str">
        <f>IF(A86="","",COUNTIFS($A$2:$A$1000,A86,$B$2:$B$1000,"&lt;"&amp;B86)+COUNTIFS($A$2:A86,A86,$B$2:B86,B86))</f>
        <v/>
      </c>
      <c r="H86" t="str">
        <f t="shared" si="1"/>
        <v/>
      </c>
    </row>
    <row r="87" spans="1:8">
      <c r="A87" s="25" t="str">
        <f>IF('Clockify Raw'!J87="","",'Clockify Raw'!J87)</f>
        <v/>
      </c>
      <c r="B87" s="23" t="str">
        <f>IF('Clockify Raw'!K87="","",VALUE('Clockify Raw'!K87))</f>
        <v/>
      </c>
      <c r="C87" s="23" t="str">
        <f>IF('Clockify Raw'!M87="","",VALUE('Clockify Raw'!M87))</f>
        <v/>
      </c>
      <c r="D87" t="str">
        <f>IF('Clockify Raw'!A87="","",IF(LOWER('Clockify Raw'!A87)="break","Break","Work"))</f>
        <v/>
      </c>
      <c r="E87" t="str">
        <f>IF('Clockify Raw'!A87="","",IF(LOWER('Clockify Raw'!A87)="break","Break",IF('Clockify Raw'!C87&lt;&gt;"",'Clockify Raw'!C87,IF('Clockify Raw'!D87&lt;&gt;"",'Clockify Raw'!D87,'Clockify Raw'!A87))))</f>
        <v/>
      </c>
      <c r="F87" s="24" t="str">
        <f>IF('Clockify Raw'!O87="","",'Clockify Raw'!O87/24)</f>
        <v/>
      </c>
      <c r="G87" t="str">
        <f>IF(A87="","",COUNTIFS($A$2:$A$1000,A87,$B$2:$B$1000,"&lt;"&amp;B87)+COUNTIFS($A$2:A87,A87,$B$2:B87,B87))</f>
        <v/>
      </c>
      <c r="H87" t="str">
        <f t="shared" si="1"/>
        <v/>
      </c>
    </row>
    <row r="88" spans="1:8">
      <c r="A88" s="25" t="str">
        <f>IF('Clockify Raw'!J88="","",'Clockify Raw'!J88)</f>
        <v/>
      </c>
      <c r="B88" s="23" t="str">
        <f>IF('Clockify Raw'!K88="","",VALUE('Clockify Raw'!K88))</f>
        <v/>
      </c>
      <c r="C88" s="23" t="str">
        <f>IF('Clockify Raw'!M88="","",VALUE('Clockify Raw'!M88))</f>
        <v/>
      </c>
      <c r="D88" t="str">
        <f>IF('Clockify Raw'!A88="","",IF(LOWER('Clockify Raw'!A88)="break","Break","Work"))</f>
        <v/>
      </c>
      <c r="E88" t="str">
        <f>IF('Clockify Raw'!A88="","",IF(LOWER('Clockify Raw'!A88)="break","Break",IF('Clockify Raw'!C88&lt;&gt;"",'Clockify Raw'!C88,IF('Clockify Raw'!D88&lt;&gt;"",'Clockify Raw'!D88,'Clockify Raw'!A88))))</f>
        <v/>
      </c>
      <c r="F88" s="24" t="str">
        <f>IF('Clockify Raw'!O88="","",'Clockify Raw'!O88/24)</f>
        <v/>
      </c>
      <c r="G88" t="str">
        <f>IF(A88="","",COUNTIFS($A$2:$A$1000,A88,$B$2:$B$1000,"&lt;"&amp;B88)+COUNTIFS($A$2:A88,A88,$B$2:B88,B88))</f>
        <v/>
      </c>
      <c r="H88" t="str">
        <f t="shared" si="1"/>
        <v/>
      </c>
    </row>
    <row r="89" spans="1:8">
      <c r="A89" s="25" t="str">
        <f>IF('Clockify Raw'!J89="","",'Clockify Raw'!J89)</f>
        <v/>
      </c>
      <c r="B89" s="23" t="str">
        <f>IF('Clockify Raw'!K89="","",VALUE('Clockify Raw'!K89))</f>
        <v/>
      </c>
      <c r="C89" s="23" t="str">
        <f>IF('Clockify Raw'!M89="","",VALUE('Clockify Raw'!M89))</f>
        <v/>
      </c>
      <c r="D89" t="str">
        <f>IF('Clockify Raw'!A89="","",IF(LOWER('Clockify Raw'!A89)="break","Break","Work"))</f>
        <v/>
      </c>
      <c r="E89" t="str">
        <f>IF('Clockify Raw'!A89="","",IF(LOWER('Clockify Raw'!A89)="break","Break",IF('Clockify Raw'!C89&lt;&gt;"",'Clockify Raw'!C89,IF('Clockify Raw'!D89&lt;&gt;"",'Clockify Raw'!D89,'Clockify Raw'!A89))))</f>
        <v/>
      </c>
      <c r="F89" s="24" t="str">
        <f>IF('Clockify Raw'!O89="","",'Clockify Raw'!O89/24)</f>
        <v/>
      </c>
      <c r="G89" t="str">
        <f>IF(A89="","",COUNTIFS($A$2:$A$1000,A89,$B$2:$B$1000,"&lt;"&amp;B89)+COUNTIFS($A$2:A89,A89,$B$2:B89,B89))</f>
        <v/>
      </c>
      <c r="H89" t="str">
        <f t="shared" si="1"/>
        <v/>
      </c>
    </row>
    <row r="90" spans="1:8">
      <c r="A90" s="25" t="str">
        <f>IF('Clockify Raw'!J90="","",'Clockify Raw'!J90)</f>
        <v/>
      </c>
      <c r="B90" s="23" t="str">
        <f>IF('Clockify Raw'!K90="","",VALUE('Clockify Raw'!K90))</f>
        <v/>
      </c>
      <c r="C90" s="23" t="str">
        <f>IF('Clockify Raw'!M90="","",VALUE('Clockify Raw'!M90))</f>
        <v/>
      </c>
      <c r="D90" t="str">
        <f>IF('Clockify Raw'!A90="","",IF(LOWER('Clockify Raw'!A90)="break","Break","Work"))</f>
        <v/>
      </c>
      <c r="E90" t="str">
        <f>IF('Clockify Raw'!A90="","",IF(LOWER('Clockify Raw'!A90)="break","Break",IF('Clockify Raw'!C90&lt;&gt;"",'Clockify Raw'!C90,IF('Clockify Raw'!D90&lt;&gt;"",'Clockify Raw'!D90,'Clockify Raw'!A90))))</f>
        <v/>
      </c>
      <c r="F90" s="24" t="str">
        <f>IF('Clockify Raw'!O90="","",'Clockify Raw'!O90/24)</f>
        <v/>
      </c>
      <c r="G90" t="str">
        <f>IF(A90="","",COUNTIFS($A$2:$A$1000,A90,$B$2:$B$1000,"&lt;"&amp;B90)+COUNTIFS($A$2:A90,A90,$B$2:B90,B90))</f>
        <v/>
      </c>
      <c r="H90" t="str">
        <f t="shared" si="1"/>
        <v/>
      </c>
    </row>
    <row r="91" spans="1:8">
      <c r="A91" s="25" t="str">
        <f>IF('Clockify Raw'!J91="","",'Clockify Raw'!J91)</f>
        <v/>
      </c>
      <c r="B91" s="23" t="str">
        <f>IF('Clockify Raw'!K91="","",VALUE('Clockify Raw'!K91))</f>
        <v/>
      </c>
      <c r="C91" s="23" t="str">
        <f>IF('Clockify Raw'!M91="","",VALUE('Clockify Raw'!M91))</f>
        <v/>
      </c>
      <c r="D91" t="str">
        <f>IF('Clockify Raw'!A91="","",IF(LOWER('Clockify Raw'!A91)="break","Break","Work"))</f>
        <v/>
      </c>
      <c r="E91" t="str">
        <f>IF('Clockify Raw'!A91="","",IF(LOWER('Clockify Raw'!A91)="break","Break",IF('Clockify Raw'!C91&lt;&gt;"",'Clockify Raw'!C91,IF('Clockify Raw'!D91&lt;&gt;"",'Clockify Raw'!D91,'Clockify Raw'!A91))))</f>
        <v/>
      </c>
      <c r="F91" s="24" t="str">
        <f>IF('Clockify Raw'!O91="","",'Clockify Raw'!O91/24)</f>
        <v/>
      </c>
      <c r="G91" t="str">
        <f>IF(A91="","",COUNTIFS($A$2:$A$1000,A91,$B$2:$B$1000,"&lt;"&amp;B91)+COUNTIFS($A$2:A91,A91,$B$2:B91,B91))</f>
        <v/>
      </c>
      <c r="H91" t="str">
        <f t="shared" si="1"/>
        <v/>
      </c>
    </row>
    <row r="92" spans="1:8">
      <c r="A92" s="25" t="str">
        <f>IF('Clockify Raw'!J92="","",'Clockify Raw'!J92)</f>
        <v/>
      </c>
      <c r="B92" s="23" t="str">
        <f>IF('Clockify Raw'!K92="","",VALUE('Clockify Raw'!K92))</f>
        <v/>
      </c>
      <c r="C92" s="23" t="str">
        <f>IF('Clockify Raw'!M92="","",VALUE('Clockify Raw'!M92))</f>
        <v/>
      </c>
      <c r="D92" t="str">
        <f>IF('Clockify Raw'!A92="","",IF(LOWER('Clockify Raw'!A92)="break","Break","Work"))</f>
        <v/>
      </c>
      <c r="E92" t="str">
        <f>IF('Clockify Raw'!A92="","",IF(LOWER('Clockify Raw'!A92)="break","Break",IF('Clockify Raw'!C92&lt;&gt;"",'Clockify Raw'!C92,IF('Clockify Raw'!D92&lt;&gt;"",'Clockify Raw'!D92,'Clockify Raw'!A92))))</f>
        <v/>
      </c>
      <c r="F92" s="24" t="str">
        <f>IF('Clockify Raw'!O92="","",'Clockify Raw'!O92/24)</f>
        <v/>
      </c>
      <c r="G92" t="str">
        <f>IF(A92="","",COUNTIFS($A$2:$A$1000,A92,$B$2:$B$1000,"&lt;"&amp;B92)+COUNTIFS($A$2:A92,A92,$B$2:B92,B92))</f>
        <v/>
      </c>
      <c r="H92" t="str">
        <f t="shared" si="1"/>
        <v/>
      </c>
    </row>
    <row r="93" spans="1:8">
      <c r="A93" s="25" t="str">
        <f>IF('Clockify Raw'!J93="","",'Clockify Raw'!J93)</f>
        <v/>
      </c>
      <c r="B93" s="23" t="str">
        <f>IF('Clockify Raw'!K93="","",VALUE('Clockify Raw'!K93))</f>
        <v/>
      </c>
      <c r="C93" s="23" t="str">
        <f>IF('Clockify Raw'!M93="","",VALUE('Clockify Raw'!M93))</f>
        <v/>
      </c>
      <c r="D93" t="str">
        <f>IF('Clockify Raw'!A93="","",IF(LOWER('Clockify Raw'!A93)="break","Break","Work"))</f>
        <v/>
      </c>
      <c r="E93" t="str">
        <f>IF('Clockify Raw'!A93="","",IF(LOWER('Clockify Raw'!A93)="break","Break",IF('Clockify Raw'!C93&lt;&gt;"",'Clockify Raw'!C93,IF('Clockify Raw'!D93&lt;&gt;"",'Clockify Raw'!D93,'Clockify Raw'!A93))))</f>
        <v/>
      </c>
      <c r="F93" s="24" t="str">
        <f>IF('Clockify Raw'!O93="","",'Clockify Raw'!O93/24)</f>
        <v/>
      </c>
      <c r="G93" t="str">
        <f>IF(A93="","",COUNTIFS($A$2:$A$1000,A93,$B$2:$B$1000,"&lt;"&amp;B93)+COUNTIFS($A$2:A93,A93,$B$2:B93,B93))</f>
        <v/>
      </c>
      <c r="H93" t="str">
        <f t="shared" si="1"/>
        <v/>
      </c>
    </row>
    <row r="94" spans="1:8">
      <c r="A94" s="25" t="str">
        <f>IF('Clockify Raw'!J94="","",'Clockify Raw'!J94)</f>
        <v/>
      </c>
      <c r="B94" s="23" t="str">
        <f>IF('Clockify Raw'!K94="","",VALUE('Clockify Raw'!K94))</f>
        <v/>
      </c>
      <c r="C94" s="23" t="str">
        <f>IF('Clockify Raw'!M94="","",VALUE('Clockify Raw'!M94))</f>
        <v/>
      </c>
      <c r="D94" t="str">
        <f>IF('Clockify Raw'!A94="","",IF(LOWER('Clockify Raw'!A94)="break","Break","Work"))</f>
        <v/>
      </c>
      <c r="E94" t="str">
        <f>IF('Clockify Raw'!A94="","",IF(LOWER('Clockify Raw'!A94)="break","Break",IF('Clockify Raw'!C94&lt;&gt;"",'Clockify Raw'!C94,IF('Clockify Raw'!D94&lt;&gt;"",'Clockify Raw'!D94,'Clockify Raw'!A94))))</f>
        <v/>
      </c>
      <c r="F94" s="24" t="str">
        <f>IF('Clockify Raw'!O94="","",'Clockify Raw'!O94/24)</f>
        <v/>
      </c>
      <c r="G94" t="str">
        <f>IF(A94="","",COUNTIFS($A$2:$A$1000,A94,$B$2:$B$1000,"&lt;"&amp;B94)+COUNTIFS($A$2:A94,A94,$B$2:B94,B94))</f>
        <v/>
      </c>
      <c r="H94" t="str">
        <f t="shared" si="1"/>
        <v/>
      </c>
    </row>
    <row r="95" spans="1:8">
      <c r="A95" s="25" t="str">
        <f>IF('Clockify Raw'!J95="","",'Clockify Raw'!J95)</f>
        <v/>
      </c>
      <c r="B95" s="23" t="str">
        <f>IF('Clockify Raw'!K95="","",VALUE('Clockify Raw'!K95))</f>
        <v/>
      </c>
      <c r="C95" s="23" t="str">
        <f>IF('Clockify Raw'!M95="","",VALUE('Clockify Raw'!M95))</f>
        <v/>
      </c>
      <c r="D95" t="str">
        <f>IF('Clockify Raw'!A95="","",IF(LOWER('Clockify Raw'!A95)="break","Break","Work"))</f>
        <v/>
      </c>
      <c r="E95" t="str">
        <f>IF('Clockify Raw'!A95="","",IF(LOWER('Clockify Raw'!A95)="break","Break",IF('Clockify Raw'!C95&lt;&gt;"",'Clockify Raw'!C95,IF('Clockify Raw'!D95&lt;&gt;"",'Clockify Raw'!D95,'Clockify Raw'!A95))))</f>
        <v/>
      </c>
      <c r="F95" s="24" t="str">
        <f>IF('Clockify Raw'!O95="","",'Clockify Raw'!O95/24)</f>
        <v/>
      </c>
      <c r="G95" t="str">
        <f>IF(A95="","",COUNTIFS($A$2:$A$1000,A95,$B$2:$B$1000,"&lt;"&amp;B95)+COUNTIFS($A$2:A95,A95,$B$2:B95,B95))</f>
        <v/>
      </c>
      <c r="H95" t="str">
        <f t="shared" si="1"/>
        <v/>
      </c>
    </row>
    <row r="96" spans="1:8">
      <c r="A96" s="25" t="str">
        <f>IF('Clockify Raw'!J96="","",'Clockify Raw'!J96)</f>
        <v/>
      </c>
      <c r="B96" s="23" t="str">
        <f>IF('Clockify Raw'!K96="","",VALUE('Clockify Raw'!K96))</f>
        <v/>
      </c>
      <c r="C96" s="23" t="str">
        <f>IF('Clockify Raw'!M96="","",VALUE('Clockify Raw'!M96))</f>
        <v/>
      </c>
      <c r="D96" t="str">
        <f>IF('Clockify Raw'!A96="","",IF(LOWER('Clockify Raw'!A96)="break","Break","Work"))</f>
        <v/>
      </c>
      <c r="E96" t="str">
        <f>IF('Clockify Raw'!A96="","",IF(LOWER('Clockify Raw'!A96)="break","Break",IF('Clockify Raw'!C96&lt;&gt;"",'Clockify Raw'!C96,IF('Clockify Raw'!D96&lt;&gt;"",'Clockify Raw'!D96,'Clockify Raw'!A96))))</f>
        <v/>
      </c>
      <c r="F96" s="24" t="str">
        <f>IF('Clockify Raw'!O96="","",'Clockify Raw'!O96/24)</f>
        <v/>
      </c>
      <c r="G96" t="str">
        <f>IF(A96="","",COUNTIFS($A$2:$A$1000,A96,$B$2:$B$1000,"&lt;"&amp;B96)+COUNTIFS($A$2:A96,A96,$B$2:B96,B96))</f>
        <v/>
      </c>
      <c r="H96" t="str">
        <f t="shared" si="1"/>
        <v/>
      </c>
    </row>
    <row r="97" spans="1:8">
      <c r="A97" s="25" t="str">
        <f>IF('Clockify Raw'!J97="","",'Clockify Raw'!J97)</f>
        <v/>
      </c>
      <c r="B97" s="23" t="str">
        <f>IF('Clockify Raw'!K97="","",VALUE('Clockify Raw'!K97))</f>
        <v/>
      </c>
      <c r="C97" s="23" t="str">
        <f>IF('Clockify Raw'!M97="","",VALUE('Clockify Raw'!M97))</f>
        <v/>
      </c>
      <c r="D97" t="str">
        <f>IF('Clockify Raw'!A97="","",IF(LOWER('Clockify Raw'!A97)="break","Break","Work"))</f>
        <v/>
      </c>
      <c r="E97" t="str">
        <f>IF('Clockify Raw'!A97="","",IF(LOWER('Clockify Raw'!A97)="break","Break",IF('Clockify Raw'!C97&lt;&gt;"",'Clockify Raw'!C97,IF('Clockify Raw'!D97&lt;&gt;"",'Clockify Raw'!D97,'Clockify Raw'!A97))))</f>
        <v/>
      </c>
      <c r="F97" s="24" t="str">
        <f>IF('Clockify Raw'!O97="","",'Clockify Raw'!O97/24)</f>
        <v/>
      </c>
      <c r="G97" t="str">
        <f>IF(A97="","",COUNTIFS($A$2:$A$1000,A97,$B$2:$B$1000,"&lt;"&amp;B97)+COUNTIFS($A$2:A97,A97,$B$2:B97,B97))</f>
        <v/>
      </c>
      <c r="H97" t="str">
        <f t="shared" si="1"/>
        <v/>
      </c>
    </row>
    <row r="98" spans="1:8">
      <c r="A98" s="25" t="str">
        <f>IF('Clockify Raw'!J98="","",'Clockify Raw'!J98)</f>
        <v/>
      </c>
      <c r="B98" s="23" t="str">
        <f>IF('Clockify Raw'!K98="","",VALUE('Clockify Raw'!K98))</f>
        <v/>
      </c>
      <c r="C98" s="23" t="str">
        <f>IF('Clockify Raw'!M98="","",VALUE('Clockify Raw'!M98))</f>
        <v/>
      </c>
      <c r="D98" t="str">
        <f>IF('Clockify Raw'!A98="","",IF(LOWER('Clockify Raw'!A98)="break","Break","Work"))</f>
        <v/>
      </c>
      <c r="E98" t="str">
        <f>IF('Clockify Raw'!A98="","",IF(LOWER('Clockify Raw'!A98)="break","Break",IF('Clockify Raw'!C98&lt;&gt;"",'Clockify Raw'!C98,IF('Clockify Raw'!D98&lt;&gt;"",'Clockify Raw'!D98,'Clockify Raw'!A98))))</f>
        <v/>
      </c>
      <c r="F98" s="24" t="str">
        <f>IF('Clockify Raw'!O98="","",'Clockify Raw'!O98/24)</f>
        <v/>
      </c>
      <c r="G98" t="str">
        <f>IF(A98="","",COUNTIFS($A$2:$A$1000,A98,$B$2:$B$1000,"&lt;"&amp;B98)+COUNTIFS($A$2:A98,A98,$B$2:B98,B98))</f>
        <v/>
      </c>
      <c r="H98" t="str">
        <f t="shared" si="1"/>
        <v/>
      </c>
    </row>
    <row r="99" spans="1:8">
      <c r="A99" s="25" t="str">
        <f>IF('Clockify Raw'!J99="","",'Clockify Raw'!J99)</f>
        <v/>
      </c>
      <c r="B99" s="23" t="str">
        <f>IF('Clockify Raw'!K99="","",VALUE('Clockify Raw'!K99))</f>
        <v/>
      </c>
      <c r="C99" s="23" t="str">
        <f>IF('Clockify Raw'!M99="","",VALUE('Clockify Raw'!M99))</f>
        <v/>
      </c>
      <c r="D99" t="str">
        <f>IF('Clockify Raw'!A99="","",IF(LOWER('Clockify Raw'!A99)="break","Break","Work"))</f>
        <v/>
      </c>
      <c r="E99" t="str">
        <f>IF('Clockify Raw'!A99="","",IF(LOWER('Clockify Raw'!A99)="break","Break",IF('Clockify Raw'!C99&lt;&gt;"",'Clockify Raw'!C99,IF('Clockify Raw'!D99&lt;&gt;"",'Clockify Raw'!D99,'Clockify Raw'!A99))))</f>
        <v/>
      </c>
      <c r="F99" s="24" t="str">
        <f>IF('Clockify Raw'!O99="","",'Clockify Raw'!O99/24)</f>
        <v/>
      </c>
      <c r="G99" t="str">
        <f>IF(A99="","",COUNTIFS($A$2:$A$1000,A99,$B$2:$B$1000,"&lt;"&amp;B99)+COUNTIFS($A$2:A99,A99,$B$2:B99,B99))</f>
        <v/>
      </c>
      <c r="H99" t="str">
        <f t="shared" si="1"/>
        <v/>
      </c>
    </row>
    <row r="100" spans="1:8">
      <c r="A100" s="25" t="str">
        <f>IF('Clockify Raw'!J100="","",'Clockify Raw'!J100)</f>
        <v/>
      </c>
      <c r="B100" s="23" t="str">
        <f>IF('Clockify Raw'!K100="","",VALUE('Clockify Raw'!K100))</f>
        <v/>
      </c>
      <c r="C100" s="23" t="str">
        <f>IF('Clockify Raw'!M100="","",VALUE('Clockify Raw'!M100))</f>
        <v/>
      </c>
      <c r="D100" t="str">
        <f>IF('Clockify Raw'!A100="","",IF(LOWER('Clockify Raw'!A100)="break","Break","Work"))</f>
        <v/>
      </c>
      <c r="E100" t="str">
        <f>IF('Clockify Raw'!A100="","",IF(LOWER('Clockify Raw'!A100)="break","Break",IF('Clockify Raw'!C100&lt;&gt;"",'Clockify Raw'!C100,IF('Clockify Raw'!D100&lt;&gt;"",'Clockify Raw'!D100,'Clockify Raw'!A100))))</f>
        <v/>
      </c>
      <c r="F100" s="24" t="str">
        <f>IF('Clockify Raw'!O100="","",'Clockify Raw'!O100/24)</f>
        <v/>
      </c>
      <c r="G100" t="str">
        <f>IF(A100="","",COUNTIFS($A$2:$A$1000,A100,$B$2:$B$1000,"&lt;"&amp;B100)+COUNTIFS($A$2:A100,A100,$B$2:B100,B100))</f>
        <v/>
      </c>
      <c r="H100" t="str">
        <f t="shared" si="1"/>
        <v/>
      </c>
    </row>
    <row r="101" spans="1:8">
      <c r="A101" s="25" t="str">
        <f>IF('Clockify Raw'!J101="","",'Clockify Raw'!J101)</f>
        <v/>
      </c>
      <c r="B101" s="23" t="str">
        <f>IF('Clockify Raw'!K101="","",VALUE('Clockify Raw'!K101))</f>
        <v/>
      </c>
      <c r="C101" s="23" t="str">
        <f>IF('Clockify Raw'!M101="","",VALUE('Clockify Raw'!M101))</f>
        <v/>
      </c>
      <c r="D101" t="str">
        <f>IF('Clockify Raw'!A101="","",IF(LOWER('Clockify Raw'!A101)="break","Break","Work"))</f>
        <v/>
      </c>
      <c r="E101" t="str">
        <f>IF('Clockify Raw'!A101="","",IF(LOWER('Clockify Raw'!A101)="break","Break",IF('Clockify Raw'!C101&lt;&gt;"",'Clockify Raw'!C101,IF('Clockify Raw'!D101&lt;&gt;"",'Clockify Raw'!D101,'Clockify Raw'!A101))))</f>
        <v/>
      </c>
      <c r="F101" s="24" t="str">
        <f>IF('Clockify Raw'!O101="","",'Clockify Raw'!O101/24)</f>
        <v/>
      </c>
      <c r="G101" t="str">
        <f>IF(A101="","",COUNTIFS($A$2:$A$1000,A101,$B$2:$B$1000,"&lt;"&amp;B101)+COUNTIFS($A$2:A101,A101,$B$2:B101,B101))</f>
        <v/>
      </c>
      <c r="H101" t="str">
        <f t="shared" si="1"/>
        <v/>
      </c>
    </row>
    <row r="102" spans="1:8">
      <c r="A102" s="25" t="str">
        <f>IF('Clockify Raw'!J102="","",'Clockify Raw'!J102)</f>
        <v/>
      </c>
      <c r="B102" s="23" t="str">
        <f>IF('Clockify Raw'!K102="","",VALUE('Clockify Raw'!K102))</f>
        <v/>
      </c>
      <c r="C102" s="23" t="str">
        <f>IF('Clockify Raw'!M102="","",VALUE('Clockify Raw'!M102))</f>
        <v/>
      </c>
      <c r="D102" t="str">
        <f>IF('Clockify Raw'!A102="","",IF(LOWER('Clockify Raw'!A102)="break","Break","Work"))</f>
        <v/>
      </c>
      <c r="E102" t="str">
        <f>IF('Clockify Raw'!A102="","",IF(LOWER('Clockify Raw'!A102)="break","Break",IF('Clockify Raw'!C102&lt;&gt;"",'Clockify Raw'!C102,IF('Clockify Raw'!D102&lt;&gt;"",'Clockify Raw'!D102,'Clockify Raw'!A102))))</f>
        <v/>
      </c>
      <c r="F102" s="24" t="str">
        <f>IF('Clockify Raw'!O102="","",'Clockify Raw'!O102/24)</f>
        <v/>
      </c>
      <c r="G102" t="str">
        <f>IF(A102="","",COUNTIFS($A$2:$A$1000,A102,$B$2:$B$1000,"&lt;"&amp;B102)+COUNTIFS($A$2:A102,A102,$B$2:B102,B102))</f>
        <v/>
      </c>
      <c r="H102" t="str">
        <f t="shared" si="1"/>
        <v/>
      </c>
    </row>
    <row r="103" spans="1:8">
      <c r="A103" s="25" t="str">
        <f>IF('Clockify Raw'!J103="","",'Clockify Raw'!J103)</f>
        <v/>
      </c>
      <c r="B103" s="23" t="str">
        <f>IF('Clockify Raw'!K103="","",VALUE('Clockify Raw'!K103))</f>
        <v/>
      </c>
      <c r="C103" s="23" t="str">
        <f>IF('Clockify Raw'!M103="","",VALUE('Clockify Raw'!M103))</f>
        <v/>
      </c>
      <c r="D103" t="str">
        <f>IF('Clockify Raw'!A103="","",IF(LOWER('Clockify Raw'!A103)="break","Break","Work"))</f>
        <v/>
      </c>
      <c r="E103" t="str">
        <f>IF('Clockify Raw'!A103="","",IF(LOWER('Clockify Raw'!A103)="break","Break",IF('Clockify Raw'!C103&lt;&gt;"",'Clockify Raw'!C103,IF('Clockify Raw'!D103&lt;&gt;"",'Clockify Raw'!D103,'Clockify Raw'!A103))))</f>
        <v/>
      </c>
      <c r="F103" s="24" t="str">
        <f>IF('Clockify Raw'!O103="","",'Clockify Raw'!O103/24)</f>
        <v/>
      </c>
      <c r="G103" t="str">
        <f>IF(A103="","",COUNTIFS($A$2:$A$1000,A103,$B$2:$B$1000,"&lt;"&amp;B103)+COUNTIFS($A$2:A103,A103,$B$2:B103,B103))</f>
        <v/>
      </c>
      <c r="H103" t="str">
        <f t="shared" si="1"/>
        <v/>
      </c>
    </row>
    <row r="104" spans="1:8">
      <c r="A104" s="25" t="str">
        <f>IF('Clockify Raw'!J104="","",'Clockify Raw'!J104)</f>
        <v/>
      </c>
      <c r="B104" s="23" t="str">
        <f>IF('Clockify Raw'!K104="","",VALUE('Clockify Raw'!K104))</f>
        <v/>
      </c>
      <c r="C104" s="23" t="str">
        <f>IF('Clockify Raw'!M104="","",VALUE('Clockify Raw'!M104))</f>
        <v/>
      </c>
      <c r="D104" t="str">
        <f>IF('Clockify Raw'!A104="","",IF(LOWER('Clockify Raw'!A104)="break","Break","Work"))</f>
        <v/>
      </c>
      <c r="E104" t="str">
        <f>IF('Clockify Raw'!A104="","",IF(LOWER('Clockify Raw'!A104)="break","Break",IF('Clockify Raw'!C104&lt;&gt;"",'Clockify Raw'!C104,IF('Clockify Raw'!D104&lt;&gt;"",'Clockify Raw'!D104,'Clockify Raw'!A104))))</f>
        <v/>
      </c>
      <c r="F104" s="24" t="str">
        <f>IF('Clockify Raw'!O104="","",'Clockify Raw'!O104/24)</f>
        <v/>
      </c>
      <c r="G104" t="str">
        <f>IF(A104="","",COUNTIFS($A$2:$A$1000,A104,$B$2:$B$1000,"&lt;"&amp;B104)+COUNTIFS($A$2:A104,A104,$B$2:B104,B104))</f>
        <v/>
      </c>
      <c r="H104" t="str">
        <f t="shared" si="1"/>
        <v/>
      </c>
    </row>
    <row r="105" spans="1:8">
      <c r="A105" s="25" t="str">
        <f>IF('Clockify Raw'!J105="","",'Clockify Raw'!J105)</f>
        <v/>
      </c>
      <c r="B105" s="23" t="str">
        <f>IF('Clockify Raw'!K105="","",VALUE('Clockify Raw'!K105))</f>
        <v/>
      </c>
      <c r="C105" s="23" t="str">
        <f>IF('Clockify Raw'!M105="","",VALUE('Clockify Raw'!M105))</f>
        <v/>
      </c>
      <c r="D105" t="str">
        <f>IF('Clockify Raw'!A105="","",IF(LOWER('Clockify Raw'!A105)="break","Break","Work"))</f>
        <v/>
      </c>
      <c r="E105" t="str">
        <f>IF('Clockify Raw'!A105="","",IF(LOWER('Clockify Raw'!A105)="break","Break",IF('Clockify Raw'!C105&lt;&gt;"",'Clockify Raw'!C105,IF('Clockify Raw'!D105&lt;&gt;"",'Clockify Raw'!D105,'Clockify Raw'!A105))))</f>
        <v/>
      </c>
      <c r="F105" s="24" t="str">
        <f>IF('Clockify Raw'!O105="","",'Clockify Raw'!O105/24)</f>
        <v/>
      </c>
      <c r="G105" t="str">
        <f>IF(A105="","",COUNTIFS($A$2:$A$1000,A105,$B$2:$B$1000,"&lt;"&amp;B105)+COUNTIFS($A$2:A105,A105,$B$2:B105,B105))</f>
        <v/>
      </c>
      <c r="H105" t="str">
        <f t="shared" si="1"/>
        <v/>
      </c>
    </row>
    <row r="106" spans="1:8">
      <c r="A106" s="25" t="str">
        <f>IF('Clockify Raw'!J106="","",'Clockify Raw'!J106)</f>
        <v/>
      </c>
      <c r="B106" s="23" t="str">
        <f>IF('Clockify Raw'!K106="","",VALUE('Clockify Raw'!K106))</f>
        <v/>
      </c>
      <c r="C106" s="23" t="str">
        <f>IF('Clockify Raw'!M106="","",VALUE('Clockify Raw'!M106))</f>
        <v/>
      </c>
      <c r="D106" t="str">
        <f>IF('Clockify Raw'!A106="","",IF(LOWER('Clockify Raw'!A106)="break","Break","Work"))</f>
        <v/>
      </c>
      <c r="E106" t="str">
        <f>IF('Clockify Raw'!A106="","",IF(LOWER('Clockify Raw'!A106)="break","Break",IF('Clockify Raw'!C106&lt;&gt;"",'Clockify Raw'!C106,IF('Clockify Raw'!D106&lt;&gt;"",'Clockify Raw'!D106,'Clockify Raw'!A106))))</f>
        <v/>
      </c>
      <c r="F106" s="24" t="str">
        <f>IF('Clockify Raw'!O106="","",'Clockify Raw'!O106/24)</f>
        <v/>
      </c>
      <c r="G106" t="str">
        <f>IF(A106="","",COUNTIFS($A$2:$A$1000,A106,$B$2:$B$1000,"&lt;"&amp;B106)+COUNTIFS($A$2:A106,A106,$B$2:B106,B106))</f>
        <v/>
      </c>
      <c r="H106" t="str">
        <f t="shared" si="1"/>
        <v/>
      </c>
    </row>
    <row r="107" spans="1:8">
      <c r="A107" s="25" t="str">
        <f>IF('Clockify Raw'!J107="","",'Clockify Raw'!J107)</f>
        <v/>
      </c>
      <c r="B107" s="23" t="str">
        <f>IF('Clockify Raw'!K107="","",VALUE('Clockify Raw'!K107))</f>
        <v/>
      </c>
      <c r="C107" s="23" t="str">
        <f>IF('Clockify Raw'!M107="","",VALUE('Clockify Raw'!M107))</f>
        <v/>
      </c>
      <c r="D107" t="str">
        <f>IF('Clockify Raw'!A107="","",IF(LOWER('Clockify Raw'!A107)="break","Break","Work"))</f>
        <v/>
      </c>
      <c r="E107" t="str">
        <f>IF('Clockify Raw'!A107="","",IF(LOWER('Clockify Raw'!A107)="break","Break",IF('Clockify Raw'!C107&lt;&gt;"",'Clockify Raw'!C107,IF('Clockify Raw'!D107&lt;&gt;"",'Clockify Raw'!D107,'Clockify Raw'!A107))))</f>
        <v/>
      </c>
      <c r="F107" s="24" t="str">
        <f>IF('Clockify Raw'!O107="","",'Clockify Raw'!O107/24)</f>
        <v/>
      </c>
      <c r="G107" t="str">
        <f>IF(A107="","",COUNTIFS($A$2:$A$1000,A107,$B$2:$B$1000,"&lt;"&amp;B107)+COUNTIFS($A$2:A107,A107,$B$2:B107,B107))</f>
        <v/>
      </c>
      <c r="H107" t="str">
        <f t="shared" si="1"/>
        <v/>
      </c>
    </row>
    <row r="108" spans="1:8">
      <c r="A108" s="25" t="str">
        <f>IF('Clockify Raw'!J108="","",'Clockify Raw'!J108)</f>
        <v/>
      </c>
      <c r="B108" s="23" t="str">
        <f>IF('Clockify Raw'!K108="","",VALUE('Clockify Raw'!K108))</f>
        <v/>
      </c>
      <c r="C108" s="23" t="str">
        <f>IF('Clockify Raw'!M108="","",VALUE('Clockify Raw'!M108))</f>
        <v/>
      </c>
      <c r="D108" t="str">
        <f>IF('Clockify Raw'!A108="","",IF(LOWER('Clockify Raw'!A108)="break","Break","Work"))</f>
        <v/>
      </c>
      <c r="E108" t="str">
        <f>IF('Clockify Raw'!A108="","",IF(LOWER('Clockify Raw'!A108)="break","Break",IF('Clockify Raw'!C108&lt;&gt;"",'Clockify Raw'!C108,IF('Clockify Raw'!D108&lt;&gt;"",'Clockify Raw'!D108,'Clockify Raw'!A108))))</f>
        <v/>
      </c>
      <c r="F108" s="24" t="str">
        <f>IF('Clockify Raw'!O108="","",'Clockify Raw'!O108/24)</f>
        <v/>
      </c>
      <c r="G108" t="str">
        <f>IF(A108="","",COUNTIFS($A$2:$A$1000,A108,$B$2:$B$1000,"&lt;"&amp;B108)+COUNTIFS($A$2:A108,A108,$B$2:B108,B108))</f>
        <v/>
      </c>
      <c r="H108" t="str">
        <f t="shared" si="1"/>
        <v/>
      </c>
    </row>
    <row r="109" spans="1:8">
      <c r="A109" s="25" t="str">
        <f>IF('Clockify Raw'!J109="","",'Clockify Raw'!J109)</f>
        <v/>
      </c>
      <c r="B109" s="23" t="str">
        <f>IF('Clockify Raw'!K109="","",VALUE('Clockify Raw'!K109))</f>
        <v/>
      </c>
      <c r="C109" s="23" t="str">
        <f>IF('Clockify Raw'!M109="","",VALUE('Clockify Raw'!M109))</f>
        <v/>
      </c>
      <c r="D109" t="str">
        <f>IF('Clockify Raw'!A109="","",IF(LOWER('Clockify Raw'!A109)="break","Break","Work"))</f>
        <v/>
      </c>
      <c r="E109" t="str">
        <f>IF('Clockify Raw'!A109="","",IF(LOWER('Clockify Raw'!A109)="break","Break",IF('Clockify Raw'!C109&lt;&gt;"",'Clockify Raw'!C109,IF('Clockify Raw'!D109&lt;&gt;"",'Clockify Raw'!D109,'Clockify Raw'!A109))))</f>
        <v/>
      </c>
      <c r="F109" s="24" t="str">
        <f>IF('Clockify Raw'!O109="","",'Clockify Raw'!O109/24)</f>
        <v/>
      </c>
      <c r="G109" t="str">
        <f>IF(A109="","",COUNTIFS($A$2:$A$1000,A109,$B$2:$B$1000,"&lt;"&amp;B109)+COUNTIFS($A$2:A109,A109,$B$2:B109,B109))</f>
        <v/>
      </c>
      <c r="H109" t="str">
        <f t="shared" si="1"/>
        <v/>
      </c>
    </row>
    <row r="110" spans="1:8">
      <c r="A110" s="25" t="str">
        <f>IF('Clockify Raw'!J110="","",'Clockify Raw'!J110)</f>
        <v/>
      </c>
      <c r="B110" s="23" t="str">
        <f>IF('Clockify Raw'!K110="","",VALUE('Clockify Raw'!K110))</f>
        <v/>
      </c>
      <c r="C110" s="23" t="str">
        <f>IF('Clockify Raw'!M110="","",VALUE('Clockify Raw'!M110))</f>
        <v/>
      </c>
      <c r="D110" t="str">
        <f>IF('Clockify Raw'!A110="","",IF(LOWER('Clockify Raw'!A110)="break","Break","Work"))</f>
        <v/>
      </c>
      <c r="E110" t="str">
        <f>IF('Clockify Raw'!A110="","",IF(LOWER('Clockify Raw'!A110)="break","Break",IF('Clockify Raw'!C110&lt;&gt;"",'Clockify Raw'!C110,IF('Clockify Raw'!D110&lt;&gt;"",'Clockify Raw'!D110,'Clockify Raw'!A110))))</f>
        <v/>
      </c>
      <c r="F110" s="24" t="str">
        <f>IF('Clockify Raw'!O110="","",'Clockify Raw'!O110/24)</f>
        <v/>
      </c>
      <c r="G110" t="str">
        <f>IF(A110="","",COUNTIFS($A$2:$A$1000,A110,$B$2:$B$1000,"&lt;"&amp;B110)+COUNTIFS($A$2:A110,A110,$B$2:B110,B110))</f>
        <v/>
      </c>
      <c r="H110" t="str">
        <f t="shared" si="1"/>
        <v/>
      </c>
    </row>
    <row r="111" spans="1:8">
      <c r="A111" s="25" t="str">
        <f>IF('Clockify Raw'!J111="","",'Clockify Raw'!J111)</f>
        <v/>
      </c>
      <c r="B111" s="23" t="str">
        <f>IF('Clockify Raw'!K111="","",VALUE('Clockify Raw'!K111))</f>
        <v/>
      </c>
      <c r="C111" s="23" t="str">
        <f>IF('Clockify Raw'!M111="","",VALUE('Clockify Raw'!M111))</f>
        <v/>
      </c>
      <c r="D111" t="str">
        <f>IF('Clockify Raw'!A111="","",IF(LOWER('Clockify Raw'!A111)="break","Break","Work"))</f>
        <v/>
      </c>
      <c r="E111" t="str">
        <f>IF('Clockify Raw'!A111="","",IF(LOWER('Clockify Raw'!A111)="break","Break",IF('Clockify Raw'!C111&lt;&gt;"",'Clockify Raw'!C111,IF('Clockify Raw'!D111&lt;&gt;"",'Clockify Raw'!D111,'Clockify Raw'!A111))))</f>
        <v/>
      </c>
      <c r="F111" s="24" t="str">
        <f>IF('Clockify Raw'!O111="","",'Clockify Raw'!O111/24)</f>
        <v/>
      </c>
      <c r="G111" t="str">
        <f>IF(A111="","",COUNTIFS($A$2:$A$1000,A111,$B$2:$B$1000,"&lt;"&amp;B111)+COUNTIFS($A$2:A111,A111,$B$2:B111,B111))</f>
        <v/>
      </c>
      <c r="H111" t="str">
        <f t="shared" si="1"/>
        <v/>
      </c>
    </row>
    <row r="112" spans="1:8">
      <c r="A112" s="25" t="str">
        <f>IF('Clockify Raw'!J112="","",'Clockify Raw'!J112)</f>
        <v/>
      </c>
      <c r="B112" s="23" t="str">
        <f>IF('Clockify Raw'!K112="","",VALUE('Clockify Raw'!K112))</f>
        <v/>
      </c>
      <c r="C112" s="23" t="str">
        <f>IF('Clockify Raw'!M112="","",VALUE('Clockify Raw'!M112))</f>
        <v/>
      </c>
      <c r="D112" t="str">
        <f>IF('Clockify Raw'!A112="","",IF(LOWER('Clockify Raw'!A112)="break","Break","Work"))</f>
        <v/>
      </c>
      <c r="E112" t="str">
        <f>IF('Clockify Raw'!A112="","",IF(LOWER('Clockify Raw'!A112)="break","Break",IF('Clockify Raw'!C112&lt;&gt;"",'Clockify Raw'!C112,IF('Clockify Raw'!D112&lt;&gt;"",'Clockify Raw'!D112,'Clockify Raw'!A112))))</f>
        <v/>
      </c>
      <c r="F112" s="24" t="str">
        <f>IF('Clockify Raw'!O112="","",'Clockify Raw'!O112/24)</f>
        <v/>
      </c>
      <c r="G112" t="str">
        <f>IF(A112="","",COUNTIFS($A$2:$A$1000,A112,$B$2:$B$1000,"&lt;"&amp;B112)+COUNTIFS($A$2:A112,A112,$B$2:B112,B112))</f>
        <v/>
      </c>
      <c r="H112" t="str">
        <f t="shared" si="1"/>
        <v/>
      </c>
    </row>
    <row r="113" spans="1:8">
      <c r="A113" s="25" t="str">
        <f>IF('Clockify Raw'!J113="","",'Clockify Raw'!J113)</f>
        <v/>
      </c>
      <c r="B113" s="23" t="str">
        <f>IF('Clockify Raw'!K113="","",VALUE('Clockify Raw'!K113))</f>
        <v/>
      </c>
      <c r="C113" s="23" t="str">
        <f>IF('Clockify Raw'!M113="","",VALUE('Clockify Raw'!M113))</f>
        <v/>
      </c>
      <c r="D113" t="str">
        <f>IF('Clockify Raw'!A113="","",IF(LOWER('Clockify Raw'!A113)="break","Break","Work"))</f>
        <v/>
      </c>
      <c r="E113" t="str">
        <f>IF('Clockify Raw'!A113="","",IF(LOWER('Clockify Raw'!A113)="break","Break",IF('Clockify Raw'!C113&lt;&gt;"",'Clockify Raw'!C113,IF('Clockify Raw'!D113&lt;&gt;"",'Clockify Raw'!D113,'Clockify Raw'!A113))))</f>
        <v/>
      </c>
      <c r="F113" s="24" t="str">
        <f>IF('Clockify Raw'!O113="","",'Clockify Raw'!O113/24)</f>
        <v/>
      </c>
      <c r="G113" t="str">
        <f>IF(A113="","",COUNTIFS($A$2:$A$1000,A113,$B$2:$B$1000,"&lt;"&amp;B113)+COUNTIFS($A$2:A113,A113,$B$2:B113,B113))</f>
        <v/>
      </c>
      <c r="H113" t="str">
        <f t="shared" si="1"/>
        <v/>
      </c>
    </row>
    <row r="114" spans="1:8">
      <c r="A114" s="25" t="str">
        <f>IF('Clockify Raw'!J114="","",'Clockify Raw'!J114)</f>
        <v/>
      </c>
      <c r="B114" s="23" t="str">
        <f>IF('Clockify Raw'!K114="","",VALUE('Clockify Raw'!K114))</f>
        <v/>
      </c>
      <c r="C114" s="23" t="str">
        <f>IF('Clockify Raw'!M114="","",VALUE('Clockify Raw'!M114))</f>
        <v/>
      </c>
      <c r="D114" t="str">
        <f>IF('Clockify Raw'!A114="","",IF(LOWER('Clockify Raw'!A114)="break","Break","Work"))</f>
        <v/>
      </c>
      <c r="E114" t="str">
        <f>IF('Clockify Raw'!A114="","",IF(LOWER('Clockify Raw'!A114)="break","Break",IF('Clockify Raw'!C114&lt;&gt;"",'Clockify Raw'!C114,IF('Clockify Raw'!D114&lt;&gt;"",'Clockify Raw'!D114,'Clockify Raw'!A114))))</f>
        <v/>
      </c>
      <c r="F114" s="24" t="str">
        <f>IF('Clockify Raw'!O114="","",'Clockify Raw'!O114/24)</f>
        <v/>
      </c>
      <c r="G114" t="str">
        <f>IF(A114="","",COUNTIFS($A$2:$A$1000,A114,$B$2:$B$1000,"&lt;"&amp;B114)+COUNTIFS($A$2:A114,A114,$B$2:B114,B114))</f>
        <v/>
      </c>
      <c r="H114" t="str">
        <f t="shared" si="1"/>
        <v/>
      </c>
    </row>
    <row r="115" spans="1:8">
      <c r="A115" s="25" t="str">
        <f>IF('Clockify Raw'!J115="","",'Clockify Raw'!J115)</f>
        <v/>
      </c>
      <c r="B115" s="23" t="str">
        <f>IF('Clockify Raw'!K115="","",VALUE('Clockify Raw'!K115))</f>
        <v/>
      </c>
      <c r="C115" s="23" t="str">
        <f>IF('Clockify Raw'!M115="","",VALUE('Clockify Raw'!M115))</f>
        <v/>
      </c>
      <c r="D115" t="str">
        <f>IF('Clockify Raw'!A115="","",IF(LOWER('Clockify Raw'!A115)="break","Break","Work"))</f>
        <v/>
      </c>
      <c r="E115" t="str">
        <f>IF('Clockify Raw'!A115="","",IF(LOWER('Clockify Raw'!A115)="break","Break",IF('Clockify Raw'!C115&lt;&gt;"",'Clockify Raw'!C115,IF('Clockify Raw'!D115&lt;&gt;"",'Clockify Raw'!D115,'Clockify Raw'!A115))))</f>
        <v/>
      </c>
      <c r="F115" s="24" t="str">
        <f>IF('Clockify Raw'!O115="","",'Clockify Raw'!O115/24)</f>
        <v/>
      </c>
      <c r="G115" t="str">
        <f>IF(A115="","",COUNTIFS($A$2:$A$1000,A115,$B$2:$B$1000,"&lt;"&amp;B115)+COUNTIFS($A$2:A115,A115,$B$2:B115,B115))</f>
        <v/>
      </c>
      <c r="H115" t="str">
        <f t="shared" si="1"/>
        <v/>
      </c>
    </row>
    <row r="116" spans="1:8">
      <c r="A116" s="25" t="str">
        <f>IF('Clockify Raw'!J116="","",'Clockify Raw'!J116)</f>
        <v/>
      </c>
      <c r="B116" s="23" t="str">
        <f>IF('Clockify Raw'!K116="","",VALUE('Clockify Raw'!K116))</f>
        <v/>
      </c>
      <c r="C116" s="23" t="str">
        <f>IF('Clockify Raw'!M116="","",VALUE('Clockify Raw'!M116))</f>
        <v/>
      </c>
      <c r="D116" t="str">
        <f>IF('Clockify Raw'!A116="","",IF(LOWER('Clockify Raw'!A116)="break","Break","Work"))</f>
        <v/>
      </c>
      <c r="E116" t="str">
        <f>IF('Clockify Raw'!A116="","",IF(LOWER('Clockify Raw'!A116)="break","Break",IF('Clockify Raw'!C116&lt;&gt;"",'Clockify Raw'!C116,IF('Clockify Raw'!D116&lt;&gt;"",'Clockify Raw'!D116,'Clockify Raw'!A116))))</f>
        <v/>
      </c>
      <c r="F116" s="24" t="str">
        <f>IF('Clockify Raw'!O116="","",'Clockify Raw'!O116/24)</f>
        <v/>
      </c>
      <c r="G116" t="str">
        <f>IF(A116="","",COUNTIFS($A$2:$A$1000,A116,$B$2:$B$1000,"&lt;"&amp;B116)+COUNTIFS($A$2:A116,A116,$B$2:B116,B116))</f>
        <v/>
      </c>
      <c r="H116" t="str">
        <f t="shared" si="1"/>
        <v/>
      </c>
    </row>
    <row r="117" spans="1:8">
      <c r="A117" s="25" t="str">
        <f>IF('Clockify Raw'!J117="","",'Clockify Raw'!J117)</f>
        <v/>
      </c>
      <c r="B117" s="23" t="str">
        <f>IF('Clockify Raw'!K117="","",VALUE('Clockify Raw'!K117))</f>
        <v/>
      </c>
      <c r="C117" s="23" t="str">
        <f>IF('Clockify Raw'!M117="","",VALUE('Clockify Raw'!M117))</f>
        <v/>
      </c>
      <c r="D117" t="str">
        <f>IF('Clockify Raw'!A117="","",IF(LOWER('Clockify Raw'!A117)="break","Break","Work"))</f>
        <v/>
      </c>
      <c r="E117" t="str">
        <f>IF('Clockify Raw'!A117="","",IF(LOWER('Clockify Raw'!A117)="break","Break",IF('Clockify Raw'!C117&lt;&gt;"",'Clockify Raw'!C117,IF('Clockify Raw'!D117&lt;&gt;"",'Clockify Raw'!D117,'Clockify Raw'!A117))))</f>
        <v/>
      </c>
      <c r="F117" s="24" t="str">
        <f>IF('Clockify Raw'!O117="","",'Clockify Raw'!O117/24)</f>
        <v/>
      </c>
      <c r="G117" t="str">
        <f>IF(A117="","",COUNTIFS($A$2:$A$1000,A117,$B$2:$B$1000,"&lt;"&amp;B117)+COUNTIFS($A$2:A117,A117,$B$2:B117,B117))</f>
        <v/>
      </c>
      <c r="H117" t="str">
        <f t="shared" si="1"/>
        <v/>
      </c>
    </row>
    <row r="118" spans="1:8">
      <c r="A118" s="25" t="str">
        <f>IF('Clockify Raw'!J118="","",'Clockify Raw'!J118)</f>
        <v/>
      </c>
      <c r="B118" s="23" t="str">
        <f>IF('Clockify Raw'!K118="","",VALUE('Clockify Raw'!K118))</f>
        <v/>
      </c>
      <c r="C118" s="23" t="str">
        <f>IF('Clockify Raw'!M118="","",VALUE('Clockify Raw'!M118))</f>
        <v/>
      </c>
      <c r="D118" t="str">
        <f>IF('Clockify Raw'!A118="","",IF(LOWER('Clockify Raw'!A118)="break","Break","Work"))</f>
        <v/>
      </c>
      <c r="E118" t="str">
        <f>IF('Clockify Raw'!A118="","",IF(LOWER('Clockify Raw'!A118)="break","Break",IF('Clockify Raw'!C118&lt;&gt;"",'Clockify Raw'!C118,IF('Clockify Raw'!D118&lt;&gt;"",'Clockify Raw'!D118,'Clockify Raw'!A118))))</f>
        <v/>
      </c>
      <c r="F118" s="24" t="str">
        <f>IF('Clockify Raw'!O118="","",'Clockify Raw'!O118/24)</f>
        <v/>
      </c>
      <c r="G118" t="str">
        <f>IF(A118="","",COUNTIFS($A$2:$A$1000,A118,$B$2:$B$1000,"&lt;"&amp;B118)+COUNTIFS($A$2:A118,A118,$B$2:B118,B118))</f>
        <v/>
      </c>
      <c r="H118" t="str">
        <f t="shared" si="1"/>
        <v/>
      </c>
    </row>
    <row r="119" spans="1:8">
      <c r="A119" s="25" t="str">
        <f>IF('Clockify Raw'!J119="","",'Clockify Raw'!J119)</f>
        <v/>
      </c>
      <c r="B119" s="23" t="str">
        <f>IF('Clockify Raw'!K119="","",VALUE('Clockify Raw'!K119))</f>
        <v/>
      </c>
      <c r="C119" s="23" t="str">
        <f>IF('Clockify Raw'!M119="","",VALUE('Clockify Raw'!M119))</f>
        <v/>
      </c>
      <c r="D119" t="str">
        <f>IF('Clockify Raw'!A119="","",IF(LOWER('Clockify Raw'!A119)="break","Break","Work"))</f>
        <v/>
      </c>
      <c r="E119" t="str">
        <f>IF('Clockify Raw'!A119="","",IF(LOWER('Clockify Raw'!A119)="break","Break",IF('Clockify Raw'!C119&lt;&gt;"",'Clockify Raw'!C119,IF('Clockify Raw'!D119&lt;&gt;"",'Clockify Raw'!D119,'Clockify Raw'!A119))))</f>
        <v/>
      </c>
      <c r="F119" s="24" t="str">
        <f>IF('Clockify Raw'!O119="","",'Clockify Raw'!O119/24)</f>
        <v/>
      </c>
      <c r="G119" t="str">
        <f>IF(A119="","",COUNTIFS($A$2:$A$1000,A119,$B$2:$B$1000,"&lt;"&amp;B119)+COUNTIFS($A$2:A119,A119,$B$2:B119,B119))</f>
        <v/>
      </c>
      <c r="H119" t="str">
        <f t="shared" si="1"/>
        <v/>
      </c>
    </row>
    <row r="120" spans="1:8">
      <c r="A120" s="25" t="str">
        <f>IF('Clockify Raw'!J120="","",'Clockify Raw'!J120)</f>
        <v/>
      </c>
      <c r="B120" s="23" t="str">
        <f>IF('Clockify Raw'!K120="","",VALUE('Clockify Raw'!K120))</f>
        <v/>
      </c>
      <c r="C120" s="23" t="str">
        <f>IF('Clockify Raw'!M120="","",VALUE('Clockify Raw'!M120))</f>
        <v/>
      </c>
      <c r="D120" t="str">
        <f>IF('Clockify Raw'!A120="","",IF(LOWER('Clockify Raw'!A120)="break","Break","Work"))</f>
        <v/>
      </c>
      <c r="E120" t="str">
        <f>IF('Clockify Raw'!A120="","",IF(LOWER('Clockify Raw'!A120)="break","Break",IF('Clockify Raw'!C120&lt;&gt;"",'Clockify Raw'!C120,IF('Clockify Raw'!D120&lt;&gt;"",'Clockify Raw'!D120,'Clockify Raw'!A120))))</f>
        <v/>
      </c>
      <c r="F120" s="24" t="str">
        <f>IF('Clockify Raw'!O120="","",'Clockify Raw'!O120/24)</f>
        <v/>
      </c>
      <c r="G120" t="str">
        <f>IF(A120="","",COUNTIFS($A$2:$A$1000,A120,$B$2:$B$1000,"&lt;"&amp;B120)+COUNTIFS($A$2:A120,A120,$B$2:B120,B120))</f>
        <v/>
      </c>
      <c r="H120" t="str">
        <f t="shared" si="1"/>
        <v/>
      </c>
    </row>
    <row r="121" spans="1:8">
      <c r="A121" s="25" t="str">
        <f>IF('Clockify Raw'!J121="","",'Clockify Raw'!J121)</f>
        <v/>
      </c>
      <c r="B121" s="23" t="str">
        <f>IF('Clockify Raw'!K121="","",VALUE('Clockify Raw'!K121))</f>
        <v/>
      </c>
      <c r="C121" s="23" t="str">
        <f>IF('Clockify Raw'!M121="","",VALUE('Clockify Raw'!M121))</f>
        <v/>
      </c>
      <c r="D121" t="str">
        <f>IF('Clockify Raw'!A121="","",IF(LOWER('Clockify Raw'!A121)="break","Break","Work"))</f>
        <v/>
      </c>
      <c r="E121" t="str">
        <f>IF('Clockify Raw'!A121="","",IF(LOWER('Clockify Raw'!A121)="break","Break",IF('Clockify Raw'!C121&lt;&gt;"",'Clockify Raw'!C121,IF('Clockify Raw'!D121&lt;&gt;"",'Clockify Raw'!D121,'Clockify Raw'!A121))))</f>
        <v/>
      </c>
      <c r="F121" s="24" t="str">
        <f>IF('Clockify Raw'!O121="","",'Clockify Raw'!O121/24)</f>
        <v/>
      </c>
      <c r="G121" t="str">
        <f>IF(A121="","",COUNTIFS($A$2:$A$1000,A121,$B$2:$B$1000,"&lt;"&amp;B121)+COUNTIFS($A$2:A121,A121,$B$2:B121,B121))</f>
        <v/>
      </c>
      <c r="H121" t="str">
        <f t="shared" si="1"/>
        <v/>
      </c>
    </row>
    <row r="122" spans="1:8">
      <c r="A122" s="25" t="str">
        <f>IF('Clockify Raw'!J122="","",'Clockify Raw'!J122)</f>
        <v/>
      </c>
      <c r="B122" s="23" t="str">
        <f>IF('Clockify Raw'!K122="","",VALUE('Clockify Raw'!K122))</f>
        <v/>
      </c>
      <c r="C122" s="23" t="str">
        <f>IF('Clockify Raw'!M122="","",VALUE('Clockify Raw'!M122))</f>
        <v/>
      </c>
      <c r="D122" t="str">
        <f>IF('Clockify Raw'!A122="","",IF(LOWER('Clockify Raw'!A122)="break","Break","Work"))</f>
        <v/>
      </c>
      <c r="E122" t="str">
        <f>IF('Clockify Raw'!A122="","",IF(LOWER('Clockify Raw'!A122)="break","Break",IF('Clockify Raw'!C122&lt;&gt;"",'Clockify Raw'!C122,IF('Clockify Raw'!D122&lt;&gt;"",'Clockify Raw'!D122,'Clockify Raw'!A122))))</f>
        <v/>
      </c>
      <c r="F122" s="24" t="str">
        <f>IF('Clockify Raw'!O122="","",'Clockify Raw'!O122/24)</f>
        <v/>
      </c>
      <c r="G122" t="str">
        <f>IF(A122="","",COUNTIFS($A$2:$A$1000,A122,$B$2:$B$1000,"&lt;"&amp;B122)+COUNTIFS($A$2:A122,A122,$B$2:B122,B122))</f>
        <v/>
      </c>
      <c r="H122" t="str">
        <f t="shared" si="1"/>
        <v/>
      </c>
    </row>
    <row r="123" spans="1:8">
      <c r="A123" s="25" t="str">
        <f>IF('Clockify Raw'!J123="","",'Clockify Raw'!J123)</f>
        <v/>
      </c>
      <c r="B123" s="23" t="str">
        <f>IF('Clockify Raw'!K123="","",VALUE('Clockify Raw'!K123))</f>
        <v/>
      </c>
      <c r="C123" s="23" t="str">
        <f>IF('Clockify Raw'!M123="","",VALUE('Clockify Raw'!M123))</f>
        <v/>
      </c>
      <c r="D123" t="str">
        <f>IF('Clockify Raw'!A123="","",IF(LOWER('Clockify Raw'!A123)="break","Break","Work"))</f>
        <v/>
      </c>
      <c r="E123" t="str">
        <f>IF('Clockify Raw'!A123="","",IF(LOWER('Clockify Raw'!A123)="break","Break",IF('Clockify Raw'!C123&lt;&gt;"",'Clockify Raw'!C123,IF('Clockify Raw'!D123&lt;&gt;"",'Clockify Raw'!D123,'Clockify Raw'!A123))))</f>
        <v/>
      </c>
      <c r="F123" s="24" t="str">
        <f>IF('Clockify Raw'!O123="","",'Clockify Raw'!O123/24)</f>
        <v/>
      </c>
      <c r="G123" t="str">
        <f>IF(A123="","",COUNTIFS($A$2:$A$1000,A123,$B$2:$B$1000,"&lt;"&amp;B123)+COUNTIFS($A$2:A123,A123,$B$2:B123,B123))</f>
        <v/>
      </c>
      <c r="H123" t="str">
        <f t="shared" si="1"/>
        <v/>
      </c>
    </row>
    <row r="124" spans="1:8">
      <c r="A124" s="25" t="str">
        <f>IF('Clockify Raw'!J124="","",'Clockify Raw'!J124)</f>
        <v/>
      </c>
      <c r="B124" s="23" t="str">
        <f>IF('Clockify Raw'!K124="","",VALUE('Clockify Raw'!K124))</f>
        <v/>
      </c>
      <c r="C124" s="23" t="str">
        <f>IF('Clockify Raw'!M124="","",VALUE('Clockify Raw'!M124))</f>
        <v/>
      </c>
      <c r="D124" t="str">
        <f>IF('Clockify Raw'!A124="","",IF(LOWER('Clockify Raw'!A124)="break","Break","Work"))</f>
        <v/>
      </c>
      <c r="E124" t="str">
        <f>IF('Clockify Raw'!A124="","",IF(LOWER('Clockify Raw'!A124)="break","Break",IF('Clockify Raw'!C124&lt;&gt;"",'Clockify Raw'!C124,IF('Clockify Raw'!D124&lt;&gt;"",'Clockify Raw'!D124,'Clockify Raw'!A124))))</f>
        <v/>
      </c>
      <c r="F124" s="24" t="str">
        <f>IF('Clockify Raw'!O124="","",'Clockify Raw'!O124/24)</f>
        <v/>
      </c>
      <c r="G124" t="str">
        <f>IF(A124="","",COUNTIFS($A$2:$A$1000,A124,$B$2:$B$1000,"&lt;"&amp;B124)+COUNTIFS($A$2:A124,A124,$B$2:B124,B124))</f>
        <v/>
      </c>
      <c r="H124" t="str">
        <f t="shared" si="1"/>
        <v/>
      </c>
    </row>
    <row r="125" spans="1:8">
      <c r="A125" s="25" t="str">
        <f>IF('Clockify Raw'!J125="","",'Clockify Raw'!J125)</f>
        <v/>
      </c>
      <c r="B125" s="23" t="str">
        <f>IF('Clockify Raw'!K125="","",VALUE('Clockify Raw'!K125))</f>
        <v/>
      </c>
      <c r="C125" s="23" t="str">
        <f>IF('Clockify Raw'!M125="","",VALUE('Clockify Raw'!M125))</f>
        <v/>
      </c>
      <c r="D125" t="str">
        <f>IF('Clockify Raw'!A125="","",IF(LOWER('Clockify Raw'!A125)="break","Break","Work"))</f>
        <v/>
      </c>
      <c r="E125" t="str">
        <f>IF('Clockify Raw'!A125="","",IF(LOWER('Clockify Raw'!A125)="break","Break",IF('Clockify Raw'!C125&lt;&gt;"",'Clockify Raw'!C125,IF('Clockify Raw'!D125&lt;&gt;"",'Clockify Raw'!D125,'Clockify Raw'!A125))))</f>
        <v/>
      </c>
      <c r="F125" s="24" t="str">
        <f>IF('Clockify Raw'!O125="","",'Clockify Raw'!O125/24)</f>
        <v/>
      </c>
      <c r="G125" t="str">
        <f>IF(A125="","",COUNTIFS($A$2:$A$1000,A125,$B$2:$B$1000,"&lt;"&amp;B125)+COUNTIFS($A$2:A125,A125,$B$2:B125,B125))</f>
        <v/>
      </c>
      <c r="H125" t="str">
        <f t="shared" si="1"/>
        <v/>
      </c>
    </row>
    <row r="126" spans="1:8">
      <c r="A126" s="25" t="str">
        <f>IF('Clockify Raw'!J126="","",'Clockify Raw'!J126)</f>
        <v/>
      </c>
      <c r="B126" s="23" t="str">
        <f>IF('Clockify Raw'!K126="","",VALUE('Clockify Raw'!K126))</f>
        <v/>
      </c>
      <c r="C126" s="23" t="str">
        <f>IF('Clockify Raw'!M126="","",VALUE('Clockify Raw'!M126))</f>
        <v/>
      </c>
      <c r="D126" t="str">
        <f>IF('Clockify Raw'!A126="","",IF(LOWER('Clockify Raw'!A126)="break","Break","Work"))</f>
        <v/>
      </c>
      <c r="E126" t="str">
        <f>IF('Clockify Raw'!A126="","",IF(LOWER('Clockify Raw'!A126)="break","Break",IF('Clockify Raw'!C126&lt;&gt;"",'Clockify Raw'!C126,IF('Clockify Raw'!D126&lt;&gt;"",'Clockify Raw'!D126,'Clockify Raw'!A126))))</f>
        <v/>
      </c>
      <c r="F126" s="24" t="str">
        <f>IF('Clockify Raw'!O126="","",'Clockify Raw'!O126/24)</f>
        <v/>
      </c>
      <c r="G126" t="str">
        <f>IF(A126="","",COUNTIFS($A$2:$A$1000,A126,$B$2:$B$1000,"&lt;"&amp;B126)+COUNTIFS($A$2:A126,A126,$B$2:B126,B126))</f>
        <v/>
      </c>
      <c r="H126" t="str">
        <f t="shared" si="1"/>
        <v/>
      </c>
    </row>
    <row r="127" spans="1:8">
      <c r="A127" s="25" t="str">
        <f>IF('Clockify Raw'!J127="","",'Clockify Raw'!J127)</f>
        <v/>
      </c>
      <c r="B127" s="23" t="str">
        <f>IF('Clockify Raw'!K127="","",VALUE('Clockify Raw'!K127))</f>
        <v/>
      </c>
      <c r="C127" s="23" t="str">
        <f>IF('Clockify Raw'!M127="","",VALUE('Clockify Raw'!M127))</f>
        <v/>
      </c>
      <c r="D127" t="str">
        <f>IF('Clockify Raw'!A127="","",IF(LOWER('Clockify Raw'!A127)="break","Break","Work"))</f>
        <v/>
      </c>
      <c r="E127" t="str">
        <f>IF('Clockify Raw'!A127="","",IF(LOWER('Clockify Raw'!A127)="break","Break",IF('Clockify Raw'!C127&lt;&gt;"",'Clockify Raw'!C127,IF('Clockify Raw'!D127&lt;&gt;"",'Clockify Raw'!D127,'Clockify Raw'!A127))))</f>
        <v/>
      </c>
      <c r="F127" s="24" t="str">
        <f>IF('Clockify Raw'!O127="","",'Clockify Raw'!O127/24)</f>
        <v/>
      </c>
      <c r="G127" t="str">
        <f>IF(A127="","",COUNTIFS($A$2:$A$1000,A127,$B$2:$B$1000,"&lt;"&amp;B127)+COUNTIFS($A$2:A127,A127,$B$2:B127,B127))</f>
        <v/>
      </c>
      <c r="H127" t="str">
        <f t="shared" si="1"/>
        <v/>
      </c>
    </row>
    <row r="128" spans="1:8">
      <c r="A128" s="25" t="str">
        <f>IF('Clockify Raw'!J128="","",'Clockify Raw'!J128)</f>
        <v/>
      </c>
      <c r="B128" s="23" t="str">
        <f>IF('Clockify Raw'!K128="","",VALUE('Clockify Raw'!K128))</f>
        <v/>
      </c>
      <c r="C128" s="23" t="str">
        <f>IF('Clockify Raw'!M128="","",VALUE('Clockify Raw'!M128))</f>
        <v/>
      </c>
      <c r="D128" t="str">
        <f>IF('Clockify Raw'!A128="","",IF(LOWER('Clockify Raw'!A128)="break","Break","Work"))</f>
        <v/>
      </c>
      <c r="E128" t="str">
        <f>IF('Clockify Raw'!A128="","",IF(LOWER('Clockify Raw'!A128)="break","Break",IF('Clockify Raw'!C128&lt;&gt;"",'Clockify Raw'!C128,IF('Clockify Raw'!D128&lt;&gt;"",'Clockify Raw'!D128,'Clockify Raw'!A128))))</f>
        <v/>
      </c>
      <c r="F128" s="24" t="str">
        <f>IF('Clockify Raw'!O128="","",'Clockify Raw'!O128/24)</f>
        <v/>
      </c>
      <c r="G128" t="str">
        <f>IF(A128="","",COUNTIFS($A$2:$A$1000,A128,$B$2:$B$1000,"&lt;"&amp;B128)+COUNTIFS($A$2:A128,A128,$B$2:B128,B128))</f>
        <v/>
      </c>
      <c r="H128" t="str">
        <f t="shared" si="1"/>
        <v/>
      </c>
    </row>
    <row r="129" spans="1:8">
      <c r="A129" s="25" t="str">
        <f>IF('Clockify Raw'!J129="","",'Clockify Raw'!J129)</f>
        <v/>
      </c>
      <c r="B129" s="23" t="str">
        <f>IF('Clockify Raw'!K129="","",VALUE('Clockify Raw'!K129))</f>
        <v/>
      </c>
      <c r="C129" s="23" t="str">
        <f>IF('Clockify Raw'!M129="","",VALUE('Clockify Raw'!M129))</f>
        <v/>
      </c>
      <c r="D129" t="str">
        <f>IF('Clockify Raw'!A129="","",IF(LOWER('Clockify Raw'!A129)="break","Break","Work"))</f>
        <v/>
      </c>
      <c r="E129" t="str">
        <f>IF('Clockify Raw'!A129="","",IF(LOWER('Clockify Raw'!A129)="break","Break",IF('Clockify Raw'!C129&lt;&gt;"",'Clockify Raw'!C129,IF('Clockify Raw'!D129&lt;&gt;"",'Clockify Raw'!D129,'Clockify Raw'!A129))))</f>
        <v/>
      </c>
      <c r="F129" s="24" t="str">
        <f>IF('Clockify Raw'!O129="","",'Clockify Raw'!O129/24)</f>
        <v/>
      </c>
      <c r="G129" t="str">
        <f>IF(A129="","",COUNTIFS($A$2:$A$1000,A129,$B$2:$B$1000,"&lt;"&amp;B129)+COUNTIFS($A$2:A129,A129,$B$2:B129,B129))</f>
        <v/>
      </c>
      <c r="H129" t="str">
        <f t="shared" si="1"/>
        <v/>
      </c>
    </row>
    <row r="130" spans="1:8">
      <c r="A130" s="25" t="str">
        <f>IF('Clockify Raw'!J130="","",'Clockify Raw'!J130)</f>
        <v/>
      </c>
      <c r="B130" s="23" t="str">
        <f>IF('Clockify Raw'!K130="","",VALUE('Clockify Raw'!K130))</f>
        <v/>
      </c>
      <c r="C130" s="23" t="str">
        <f>IF('Clockify Raw'!M130="","",VALUE('Clockify Raw'!M130))</f>
        <v/>
      </c>
      <c r="D130" t="str">
        <f>IF('Clockify Raw'!A130="","",IF(LOWER('Clockify Raw'!A130)="break","Break","Work"))</f>
        <v/>
      </c>
      <c r="E130" t="str">
        <f>IF('Clockify Raw'!A130="","",IF(LOWER('Clockify Raw'!A130)="break","Break",IF('Clockify Raw'!C130&lt;&gt;"",'Clockify Raw'!C130,IF('Clockify Raw'!D130&lt;&gt;"",'Clockify Raw'!D130,'Clockify Raw'!A130))))</f>
        <v/>
      </c>
      <c r="F130" s="24" t="str">
        <f>IF('Clockify Raw'!O130="","",'Clockify Raw'!O130/24)</f>
        <v/>
      </c>
      <c r="G130" t="str">
        <f>IF(A130="","",COUNTIFS($A$2:$A$1000,A130,$B$2:$B$1000,"&lt;"&amp;B130)+COUNTIFS($A$2:A130,A130,$B$2:B130,B130))</f>
        <v/>
      </c>
      <c r="H130" t="str">
        <f t="shared" ref="H130:H193" si="2">IF(A130="","",TEXT(A130,"yyyymmdd")&amp;"|"&amp;G130)</f>
        <v/>
      </c>
    </row>
    <row r="131" spans="1:8">
      <c r="A131" s="25" t="str">
        <f>IF('Clockify Raw'!J131="","",'Clockify Raw'!J131)</f>
        <v/>
      </c>
      <c r="B131" s="23" t="str">
        <f>IF('Clockify Raw'!K131="","",VALUE('Clockify Raw'!K131))</f>
        <v/>
      </c>
      <c r="C131" s="23" t="str">
        <f>IF('Clockify Raw'!M131="","",VALUE('Clockify Raw'!M131))</f>
        <v/>
      </c>
      <c r="D131" t="str">
        <f>IF('Clockify Raw'!A131="","",IF(LOWER('Clockify Raw'!A131)="break","Break","Work"))</f>
        <v/>
      </c>
      <c r="E131" t="str">
        <f>IF('Clockify Raw'!A131="","",IF(LOWER('Clockify Raw'!A131)="break","Break",IF('Clockify Raw'!C131&lt;&gt;"",'Clockify Raw'!C131,IF('Clockify Raw'!D131&lt;&gt;"",'Clockify Raw'!D131,'Clockify Raw'!A131))))</f>
        <v/>
      </c>
      <c r="F131" s="24" t="str">
        <f>IF('Clockify Raw'!O131="","",'Clockify Raw'!O131/24)</f>
        <v/>
      </c>
      <c r="G131" t="str">
        <f>IF(A131="","",COUNTIFS($A$2:$A$1000,A131,$B$2:$B$1000,"&lt;"&amp;B131)+COUNTIFS($A$2:A131,A131,$B$2:B131,B131))</f>
        <v/>
      </c>
      <c r="H131" t="str">
        <f t="shared" si="2"/>
        <v/>
      </c>
    </row>
    <row r="132" spans="1:8">
      <c r="A132" s="25" t="str">
        <f>IF('Clockify Raw'!J132="","",'Clockify Raw'!J132)</f>
        <v/>
      </c>
      <c r="B132" s="23" t="str">
        <f>IF('Clockify Raw'!K132="","",VALUE('Clockify Raw'!K132))</f>
        <v/>
      </c>
      <c r="C132" s="23" t="str">
        <f>IF('Clockify Raw'!M132="","",VALUE('Clockify Raw'!M132))</f>
        <v/>
      </c>
      <c r="D132" t="str">
        <f>IF('Clockify Raw'!A132="","",IF(LOWER('Clockify Raw'!A132)="break","Break","Work"))</f>
        <v/>
      </c>
      <c r="E132" t="str">
        <f>IF('Clockify Raw'!A132="","",IF(LOWER('Clockify Raw'!A132)="break","Break",IF('Clockify Raw'!C132&lt;&gt;"",'Clockify Raw'!C132,IF('Clockify Raw'!D132&lt;&gt;"",'Clockify Raw'!D132,'Clockify Raw'!A132))))</f>
        <v/>
      </c>
      <c r="F132" s="24" t="str">
        <f>IF('Clockify Raw'!O132="","",'Clockify Raw'!O132/24)</f>
        <v/>
      </c>
      <c r="G132" t="str">
        <f>IF(A132="","",COUNTIFS($A$2:$A$1000,A132,$B$2:$B$1000,"&lt;"&amp;B132)+COUNTIFS($A$2:A132,A132,$B$2:B132,B132))</f>
        <v/>
      </c>
      <c r="H132" t="str">
        <f t="shared" si="2"/>
        <v/>
      </c>
    </row>
    <row r="133" spans="1:8">
      <c r="A133" s="25" t="str">
        <f>IF('Clockify Raw'!J133="","",'Clockify Raw'!J133)</f>
        <v/>
      </c>
      <c r="B133" s="23" t="str">
        <f>IF('Clockify Raw'!K133="","",VALUE('Clockify Raw'!K133))</f>
        <v/>
      </c>
      <c r="C133" s="23" t="str">
        <f>IF('Clockify Raw'!M133="","",VALUE('Clockify Raw'!M133))</f>
        <v/>
      </c>
      <c r="D133" t="str">
        <f>IF('Clockify Raw'!A133="","",IF(LOWER('Clockify Raw'!A133)="break","Break","Work"))</f>
        <v/>
      </c>
      <c r="E133" t="str">
        <f>IF('Clockify Raw'!A133="","",IF(LOWER('Clockify Raw'!A133)="break","Break",IF('Clockify Raw'!C133&lt;&gt;"",'Clockify Raw'!C133,IF('Clockify Raw'!D133&lt;&gt;"",'Clockify Raw'!D133,'Clockify Raw'!A133))))</f>
        <v/>
      </c>
      <c r="F133" s="24" t="str">
        <f>IF('Clockify Raw'!O133="","",'Clockify Raw'!O133/24)</f>
        <v/>
      </c>
      <c r="G133" t="str">
        <f>IF(A133="","",COUNTIFS($A$2:$A$1000,A133,$B$2:$B$1000,"&lt;"&amp;B133)+COUNTIFS($A$2:A133,A133,$B$2:B133,B133))</f>
        <v/>
      </c>
      <c r="H133" t="str">
        <f t="shared" si="2"/>
        <v/>
      </c>
    </row>
    <row r="134" spans="1:8">
      <c r="A134" s="25" t="str">
        <f>IF('Clockify Raw'!J134="","",'Clockify Raw'!J134)</f>
        <v/>
      </c>
      <c r="B134" s="23" t="str">
        <f>IF('Clockify Raw'!K134="","",VALUE('Clockify Raw'!K134))</f>
        <v/>
      </c>
      <c r="C134" s="23" t="str">
        <f>IF('Clockify Raw'!M134="","",VALUE('Clockify Raw'!M134))</f>
        <v/>
      </c>
      <c r="D134" t="str">
        <f>IF('Clockify Raw'!A134="","",IF(LOWER('Clockify Raw'!A134)="break","Break","Work"))</f>
        <v/>
      </c>
      <c r="E134" t="str">
        <f>IF('Clockify Raw'!A134="","",IF(LOWER('Clockify Raw'!A134)="break","Break",IF('Clockify Raw'!C134&lt;&gt;"",'Clockify Raw'!C134,IF('Clockify Raw'!D134&lt;&gt;"",'Clockify Raw'!D134,'Clockify Raw'!A134))))</f>
        <v/>
      </c>
      <c r="F134" s="24" t="str">
        <f>IF('Clockify Raw'!O134="","",'Clockify Raw'!O134/24)</f>
        <v/>
      </c>
      <c r="G134" t="str">
        <f>IF(A134="","",COUNTIFS($A$2:$A$1000,A134,$B$2:$B$1000,"&lt;"&amp;B134)+COUNTIFS($A$2:A134,A134,$B$2:B134,B134))</f>
        <v/>
      </c>
      <c r="H134" t="str">
        <f t="shared" si="2"/>
        <v/>
      </c>
    </row>
    <row r="135" spans="1:8">
      <c r="A135" s="25" t="str">
        <f>IF('Clockify Raw'!J135="","",'Clockify Raw'!J135)</f>
        <v/>
      </c>
      <c r="B135" s="23" t="str">
        <f>IF('Clockify Raw'!K135="","",VALUE('Clockify Raw'!K135))</f>
        <v/>
      </c>
      <c r="C135" s="23" t="str">
        <f>IF('Clockify Raw'!M135="","",VALUE('Clockify Raw'!M135))</f>
        <v/>
      </c>
      <c r="D135" t="str">
        <f>IF('Clockify Raw'!A135="","",IF(LOWER('Clockify Raw'!A135)="break","Break","Work"))</f>
        <v/>
      </c>
      <c r="E135" t="str">
        <f>IF('Clockify Raw'!A135="","",IF(LOWER('Clockify Raw'!A135)="break","Break",IF('Clockify Raw'!C135&lt;&gt;"",'Clockify Raw'!C135,IF('Clockify Raw'!D135&lt;&gt;"",'Clockify Raw'!D135,'Clockify Raw'!A135))))</f>
        <v/>
      </c>
      <c r="F135" s="24" t="str">
        <f>IF('Clockify Raw'!O135="","",'Clockify Raw'!O135/24)</f>
        <v/>
      </c>
      <c r="G135" t="str">
        <f>IF(A135="","",COUNTIFS($A$2:$A$1000,A135,$B$2:$B$1000,"&lt;"&amp;B135)+COUNTIFS($A$2:A135,A135,$B$2:B135,B135))</f>
        <v/>
      </c>
      <c r="H135" t="str">
        <f t="shared" si="2"/>
        <v/>
      </c>
    </row>
    <row r="136" spans="1:8">
      <c r="A136" s="25" t="str">
        <f>IF('Clockify Raw'!J136="","",'Clockify Raw'!J136)</f>
        <v/>
      </c>
      <c r="B136" s="23" t="str">
        <f>IF('Clockify Raw'!K136="","",VALUE('Clockify Raw'!K136))</f>
        <v/>
      </c>
      <c r="C136" s="23" t="str">
        <f>IF('Clockify Raw'!M136="","",VALUE('Clockify Raw'!M136))</f>
        <v/>
      </c>
      <c r="D136" t="str">
        <f>IF('Clockify Raw'!A136="","",IF(LOWER('Clockify Raw'!A136)="break","Break","Work"))</f>
        <v/>
      </c>
      <c r="E136" t="str">
        <f>IF('Clockify Raw'!A136="","",IF(LOWER('Clockify Raw'!A136)="break","Break",IF('Clockify Raw'!C136&lt;&gt;"",'Clockify Raw'!C136,IF('Clockify Raw'!D136&lt;&gt;"",'Clockify Raw'!D136,'Clockify Raw'!A136))))</f>
        <v/>
      </c>
      <c r="F136" s="24" t="str">
        <f>IF('Clockify Raw'!O136="","",'Clockify Raw'!O136/24)</f>
        <v/>
      </c>
      <c r="G136" t="str">
        <f>IF(A136="","",COUNTIFS($A$2:$A$1000,A136,$B$2:$B$1000,"&lt;"&amp;B136)+COUNTIFS($A$2:A136,A136,$B$2:B136,B136))</f>
        <v/>
      </c>
      <c r="H136" t="str">
        <f t="shared" si="2"/>
        <v/>
      </c>
    </row>
    <row r="137" spans="1:8">
      <c r="A137" s="25" t="str">
        <f>IF('Clockify Raw'!J137="","",'Clockify Raw'!J137)</f>
        <v/>
      </c>
      <c r="B137" s="23" t="str">
        <f>IF('Clockify Raw'!K137="","",VALUE('Clockify Raw'!K137))</f>
        <v/>
      </c>
      <c r="C137" s="23" t="str">
        <f>IF('Clockify Raw'!M137="","",VALUE('Clockify Raw'!M137))</f>
        <v/>
      </c>
      <c r="D137" t="str">
        <f>IF('Clockify Raw'!A137="","",IF(LOWER('Clockify Raw'!A137)="break","Break","Work"))</f>
        <v/>
      </c>
      <c r="E137" t="str">
        <f>IF('Clockify Raw'!A137="","",IF(LOWER('Clockify Raw'!A137)="break","Break",IF('Clockify Raw'!C137&lt;&gt;"",'Clockify Raw'!C137,IF('Clockify Raw'!D137&lt;&gt;"",'Clockify Raw'!D137,'Clockify Raw'!A137))))</f>
        <v/>
      </c>
      <c r="F137" s="24" t="str">
        <f>IF('Clockify Raw'!O137="","",'Clockify Raw'!O137/24)</f>
        <v/>
      </c>
      <c r="G137" t="str">
        <f>IF(A137="","",COUNTIFS($A$2:$A$1000,A137,$B$2:$B$1000,"&lt;"&amp;B137)+COUNTIFS($A$2:A137,A137,$B$2:B137,B137))</f>
        <v/>
      </c>
      <c r="H137" t="str">
        <f t="shared" si="2"/>
        <v/>
      </c>
    </row>
    <row r="138" spans="1:8">
      <c r="A138" s="25" t="str">
        <f>IF('Clockify Raw'!J138="","",'Clockify Raw'!J138)</f>
        <v/>
      </c>
      <c r="B138" s="23" t="str">
        <f>IF('Clockify Raw'!K138="","",VALUE('Clockify Raw'!K138))</f>
        <v/>
      </c>
      <c r="C138" s="23" t="str">
        <f>IF('Clockify Raw'!M138="","",VALUE('Clockify Raw'!M138))</f>
        <v/>
      </c>
      <c r="D138" t="str">
        <f>IF('Clockify Raw'!A138="","",IF(LOWER('Clockify Raw'!A138)="break","Break","Work"))</f>
        <v/>
      </c>
      <c r="E138" t="str">
        <f>IF('Clockify Raw'!A138="","",IF(LOWER('Clockify Raw'!A138)="break","Break",IF('Clockify Raw'!C138&lt;&gt;"",'Clockify Raw'!C138,IF('Clockify Raw'!D138&lt;&gt;"",'Clockify Raw'!D138,'Clockify Raw'!A138))))</f>
        <v/>
      </c>
      <c r="F138" s="24" t="str">
        <f>IF('Clockify Raw'!O138="","",'Clockify Raw'!O138/24)</f>
        <v/>
      </c>
      <c r="G138" t="str">
        <f>IF(A138="","",COUNTIFS($A$2:$A$1000,A138,$B$2:$B$1000,"&lt;"&amp;B138)+COUNTIFS($A$2:A138,A138,$B$2:B138,B138))</f>
        <v/>
      </c>
      <c r="H138" t="str">
        <f t="shared" si="2"/>
        <v/>
      </c>
    </row>
    <row r="139" spans="1:8">
      <c r="A139" s="25" t="str">
        <f>IF('Clockify Raw'!J139="","",'Clockify Raw'!J139)</f>
        <v/>
      </c>
      <c r="B139" s="23" t="str">
        <f>IF('Clockify Raw'!K139="","",VALUE('Clockify Raw'!K139))</f>
        <v/>
      </c>
      <c r="C139" s="23" t="str">
        <f>IF('Clockify Raw'!M139="","",VALUE('Clockify Raw'!M139))</f>
        <v/>
      </c>
      <c r="D139" t="str">
        <f>IF('Clockify Raw'!A139="","",IF(LOWER('Clockify Raw'!A139)="break","Break","Work"))</f>
        <v/>
      </c>
      <c r="E139" t="str">
        <f>IF('Clockify Raw'!A139="","",IF(LOWER('Clockify Raw'!A139)="break","Break",IF('Clockify Raw'!C139&lt;&gt;"",'Clockify Raw'!C139,IF('Clockify Raw'!D139&lt;&gt;"",'Clockify Raw'!D139,'Clockify Raw'!A139))))</f>
        <v/>
      </c>
      <c r="F139" s="24" t="str">
        <f>IF('Clockify Raw'!O139="","",'Clockify Raw'!O139/24)</f>
        <v/>
      </c>
      <c r="G139" t="str">
        <f>IF(A139="","",COUNTIFS($A$2:$A$1000,A139,$B$2:$B$1000,"&lt;"&amp;B139)+COUNTIFS($A$2:A139,A139,$B$2:B139,B139))</f>
        <v/>
      </c>
      <c r="H139" t="str">
        <f t="shared" si="2"/>
        <v/>
      </c>
    </row>
    <row r="140" spans="1:8">
      <c r="A140" s="25" t="str">
        <f>IF('Clockify Raw'!J140="","",'Clockify Raw'!J140)</f>
        <v/>
      </c>
      <c r="B140" s="23" t="str">
        <f>IF('Clockify Raw'!K140="","",VALUE('Clockify Raw'!K140))</f>
        <v/>
      </c>
      <c r="C140" s="23" t="str">
        <f>IF('Clockify Raw'!M140="","",VALUE('Clockify Raw'!M140))</f>
        <v/>
      </c>
      <c r="D140" t="str">
        <f>IF('Clockify Raw'!A140="","",IF(LOWER('Clockify Raw'!A140)="break","Break","Work"))</f>
        <v/>
      </c>
      <c r="E140" t="str">
        <f>IF('Clockify Raw'!A140="","",IF(LOWER('Clockify Raw'!A140)="break","Break",IF('Clockify Raw'!C140&lt;&gt;"",'Clockify Raw'!C140,IF('Clockify Raw'!D140&lt;&gt;"",'Clockify Raw'!D140,'Clockify Raw'!A140))))</f>
        <v/>
      </c>
      <c r="F140" s="24" t="str">
        <f>IF('Clockify Raw'!O140="","",'Clockify Raw'!O140/24)</f>
        <v/>
      </c>
      <c r="G140" t="str">
        <f>IF(A140="","",COUNTIFS($A$2:$A$1000,A140,$B$2:$B$1000,"&lt;"&amp;B140)+COUNTIFS($A$2:A140,A140,$B$2:B140,B140))</f>
        <v/>
      </c>
      <c r="H140" t="str">
        <f t="shared" si="2"/>
        <v/>
      </c>
    </row>
    <row r="141" spans="1:8">
      <c r="A141" s="25" t="str">
        <f>IF('Clockify Raw'!J141="","",'Clockify Raw'!J141)</f>
        <v/>
      </c>
      <c r="B141" s="23" t="str">
        <f>IF('Clockify Raw'!K141="","",VALUE('Clockify Raw'!K141))</f>
        <v/>
      </c>
      <c r="C141" s="23" t="str">
        <f>IF('Clockify Raw'!M141="","",VALUE('Clockify Raw'!M141))</f>
        <v/>
      </c>
      <c r="D141" t="str">
        <f>IF('Clockify Raw'!A141="","",IF(LOWER('Clockify Raw'!A141)="break","Break","Work"))</f>
        <v/>
      </c>
      <c r="E141" t="str">
        <f>IF('Clockify Raw'!A141="","",IF(LOWER('Clockify Raw'!A141)="break","Break",IF('Clockify Raw'!C141&lt;&gt;"",'Clockify Raw'!C141,IF('Clockify Raw'!D141&lt;&gt;"",'Clockify Raw'!D141,'Clockify Raw'!A141))))</f>
        <v/>
      </c>
      <c r="F141" s="24" t="str">
        <f>IF('Clockify Raw'!O141="","",'Clockify Raw'!O141/24)</f>
        <v/>
      </c>
      <c r="G141" t="str">
        <f>IF(A141="","",COUNTIFS($A$2:$A$1000,A141,$B$2:$B$1000,"&lt;"&amp;B141)+COUNTIFS($A$2:A141,A141,$B$2:B141,B141))</f>
        <v/>
      </c>
      <c r="H141" t="str">
        <f t="shared" si="2"/>
        <v/>
      </c>
    </row>
    <row r="142" spans="1:8">
      <c r="A142" s="25" t="str">
        <f>IF('Clockify Raw'!J142="","",'Clockify Raw'!J142)</f>
        <v/>
      </c>
      <c r="B142" s="23" t="str">
        <f>IF('Clockify Raw'!K142="","",VALUE('Clockify Raw'!K142))</f>
        <v/>
      </c>
      <c r="C142" s="23" t="str">
        <f>IF('Clockify Raw'!M142="","",VALUE('Clockify Raw'!M142))</f>
        <v/>
      </c>
      <c r="D142" t="str">
        <f>IF('Clockify Raw'!A142="","",IF(LOWER('Clockify Raw'!A142)="break","Break","Work"))</f>
        <v/>
      </c>
      <c r="E142" t="str">
        <f>IF('Clockify Raw'!A142="","",IF(LOWER('Clockify Raw'!A142)="break","Break",IF('Clockify Raw'!C142&lt;&gt;"",'Clockify Raw'!C142,IF('Clockify Raw'!D142&lt;&gt;"",'Clockify Raw'!D142,'Clockify Raw'!A142))))</f>
        <v/>
      </c>
      <c r="F142" s="24" t="str">
        <f>IF('Clockify Raw'!O142="","",'Clockify Raw'!O142/24)</f>
        <v/>
      </c>
      <c r="G142" t="str">
        <f>IF(A142="","",COUNTIFS($A$2:$A$1000,A142,$B$2:$B$1000,"&lt;"&amp;B142)+COUNTIFS($A$2:A142,A142,$B$2:B142,B142))</f>
        <v/>
      </c>
      <c r="H142" t="str">
        <f t="shared" si="2"/>
        <v/>
      </c>
    </row>
    <row r="143" spans="1:8">
      <c r="A143" s="25" t="str">
        <f>IF('Clockify Raw'!J143="","",'Clockify Raw'!J143)</f>
        <v/>
      </c>
      <c r="B143" s="23" t="str">
        <f>IF('Clockify Raw'!K143="","",VALUE('Clockify Raw'!K143))</f>
        <v/>
      </c>
      <c r="C143" s="23" t="str">
        <f>IF('Clockify Raw'!M143="","",VALUE('Clockify Raw'!M143))</f>
        <v/>
      </c>
      <c r="D143" t="str">
        <f>IF('Clockify Raw'!A143="","",IF(LOWER('Clockify Raw'!A143)="break","Break","Work"))</f>
        <v/>
      </c>
      <c r="E143" t="str">
        <f>IF('Clockify Raw'!A143="","",IF(LOWER('Clockify Raw'!A143)="break","Break",IF('Clockify Raw'!C143&lt;&gt;"",'Clockify Raw'!C143,IF('Clockify Raw'!D143&lt;&gt;"",'Clockify Raw'!D143,'Clockify Raw'!A143))))</f>
        <v/>
      </c>
      <c r="F143" s="24" t="str">
        <f>IF('Clockify Raw'!O143="","",'Clockify Raw'!O143/24)</f>
        <v/>
      </c>
      <c r="G143" t="str">
        <f>IF(A143="","",COUNTIFS($A$2:$A$1000,A143,$B$2:$B$1000,"&lt;"&amp;B143)+COUNTIFS($A$2:A143,A143,$B$2:B143,B143))</f>
        <v/>
      </c>
      <c r="H143" t="str">
        <f t="shared" si="2"/>
        <v/>
      </c>
    </row>
    <row r="144" spans="1:8">
      <c r="A144" s="25" t="str">
        <f>IF('Clockify Raw'!J144="","",'Clockify Raw'!J144)</f>
        <v/>
      </c>
      <c r="B144" s="23" t="str">
        <f>IF('Clockify Raw'!K144="","",VALUE('Clockify Raw'!K144))</f>
        <v/>
      </c>
      <c r="C144" s="23" t="str">
        <f>IF('Clockify Raw'!M144="","",VALUE('Clockify Raw'!M144))</f>
        <v/>
      </c>
      <c r="D144" t="str">
        <f>IF('Clockify Raw'!A144="","",IF(LOWER('Clockify Raw'!A144)="break","Break","Work"))</f>
        <v/>
      </c>
      <c r="E144" t="str">
        <f>IF('Clockify Raw'!A144="","",IF(LOWER('Clockify Raw'!A144)="break","Break",IF('Clockify Raw'!C144&lt;&gt;"",'Clockify Raw'!C144,IF('Clockify Raw'!D144&lt;&gt;"",'Clockify Raw'!D144,'Clockify Raw'!A144))))</f>
        <v/>
      </c>
      <c r="F144" s="24" t="str">
        <f>IF('Clockify Raw'!O144="","",'Clockify Raw'!O144/24)</f>
        <v/>
      </c>
      <c r="G144" t="str">
        <f>IF(A144="","",COUNTIFS($A$2:$A$1000,A144,$B$2:$B$1000,"&lt;"&amp;B144)+COUNTIFS($A$2:A144,A144,$B$2:B144,B144))</f>
        <v/>
      </c>
      <c r="H144" t="str">
        <f t="shared" si="2"/>
        <v/>
      </c>
    </row>
    <row r="145" spans="1:8">
      <c r="A145" s="25" t="str">
        <f>IF('Clockify Raw'!J145="","",'Clockify Raw'!J145)</f>
        <v/>
      </c>
      <c r="B145" s="23" t="str">
        <f>IF('Clockify Raw'!K145="","",VALUE('Clockify Raw'!K145))</f>
        <v/>
      </c>
      <c r="C145" s="23" t="str">
        <f>IF('Clockify Raw'!M145="","",VALUE('Clockify Raw'!M145))</f>
        <v/>
      </c>
      <c r="D145" t="str">
        <f>IF('Clockify Raw'!A145="","",IF(LOWER('Clockify Raw'!A145)="break","Break","Work"))</f>
        <v/>
      </c>
      <c r="E145" t="str">
        <f>IF('Clockify Raw'!A145="","",IF(LOWER('Clockify Raw'!A145)="break","Break",IF('Clockify Raw'!C145&lt;&gt;"",'Clockify Raw'!C145,IF('Clockify Raw'!D145&lt;&gt;"",'Clockify Raw'!D145,'Clockify Raw'!A145))))</f>
        <v/>
      </c>
      <c r="F145" s="24" t="str">
        <f>IF('Clockify Raw'!O145="","",'Clockify Raw'!O145/24)</f>
        <v/>
      </c>
      <c r="G145" t="str">
        <f>IF(A145="","",COUNTIFS($A$2:$A$1000,A145,$B$2:$B$1000,"&lt;"&amp;B145)+COUNTIFS($A$2:A145,A145,$B$2:B145,B145))</f>
        <v/>
      </c>
      <c r="H145" t="str">
        <f t="shared" si="2"/>
        <v/>
      </c>
    </row>
    <row r="146" spans="1:8">
      <c r="A146" s="25" t="str">
        <f>IF('Clockify Raw'!J146="","",'Clockify Raw'!J146)</f>
        <v/>
      </c>
      <c r="B146" s="23" t="str">
        <f>IF('Clockify Raw'!K146="","",VALUE('Clockify Raw'!K146))</f>
        <v/>
      </c>
      <c r="C146" s="23" t="str">
        <f>IF('Clockify Raw'!M146="","",VALUE('Clockify Raw'!M146))</f>
        <v/>
      </c>
      <c r="D146" t="str">
        <f>IF('Clockify Raw'!A146="","",IF(LOWER('Clockify Raw'!A146)="break","Break","Work"))</f>
        <v/>
      </c>
      <c r="E146" t="str">
        <f>IF('Clockify Raw'!A146="","",IF(LOWER('Clockify Raw'!A146)="break","Break",IF('Clockify Raw'!C146&lt;&gt;"",'Clockify Raw'!C146,IF('Clockify Raw'!D146&lt;&gt;"",'Clockify Raw'!D146,'Clockify Raw'!A146))))</f>
        <v/>
      </c>
      <c r="F146" s="24" t="str">
        <f>IF('Clockify Raw'!O146="","",'Clockify Raw'!O146/24)</f>
        <v/>
      </c>
      <c r="G146" t="str">
        <f>IF(A146="","",COUNTIFS($A$2:$A$1000,A146,$B$2:$B$1000,"&lt;"&amp;B146)+COUNTIFS($A$2:A146,A146,$B$2:B146,B146))</f>
        <v/>
      </c>
      <c r="H146" t="str">
        <f t="shared" si="2"/>
        <v/>
      </c>
    </row>
    <row r="147" spans="1:8">
      <c r="A147" s="25" t="str">
        <f>IF('Clockify Raw'!J147="","",'Clockify Raw'!J147)</f>
        <v/>
      </c>
      <c r="B147" s="23" t="str">
        <f>IF('Clockify Raw'!K147="","",VALUE('Clockify Raw'!K147))</f>
        <v/>
      </c>
      <c r="C147" s="23" t="str">
        <f>IF('Clockify Raw'!M147="","",VALUE('Clockify Raw'!M147))</f>
        <v/>
      </c>
      <c r="D147" t="str">
        <f>IF('Clockify Raw'!A147="","",IF(LOWER('Clockify Raw'!A147)="break","Break","Work"))</f>
        <v/>
      </c>
      <c r="E147" t="str">
        <f>IF('Clockify Raw'!A147="","",IF(LOWER('Clockify Raw'!A147)="break","Break",IF('Clockify Raw'!C147&lt;&gt;"",'Clockify Raw'!C147,IF('Clockify Raw'!D147&lt;&gt;"",'Clockify Raw'!D147,'Clockify Raw'!A147))))</f>
        <v/>
      </c>
      <c r="F147" s="24" t="str">
        <f>IF('Clockify Raw'!O147="","",'Clockify Raw'!O147/24)</f>
        <v/>
      </c>
      <c r="G147" t="str">
        <f>IF(A147="","",COUNTIFS($A$2:$A$1000,A147,$B$2:$B$1000,"&lt;"&amp;B147)+COUNTIFS($A$2:A147,A147,$B$2:B147,B147))</f>
        <v/>
      </c>
      <c r="H147" t="str">
        <f t="shared" si="2"/>
        <v/>
      </c>
    </row>
    <row r="148" spans="1:8">
      <c r="A148" s="25" t="str">
        <f>IF('Clockify Raw'!J148="","",'Clockify Raw'!J148)</f>
        <v/>
      </c>
      <c r="B148" s="23" t="str">
        <f>IF('Clockify Raw'!K148="","",VALUE('Clockify Raw'!K148))</f>
        <v/>
      </c>
      <c r="C148" s="23" t="str">
        <f>IF('Clockify Raw'!M148="","",VALUE('Clockify Raw'!M148))</f>
        <v/>
      </c>
      <c r="D148" t="str">
        <f>IF('Clockify Raw'!A148="","",IF(LOWER('Clockify Raw'!A148)="break","Break","Work"))</f>
        <v/>
      </c>
      <c r="E148" t="str">
        <f>IF('Clockify Raw'!A148="","",IF(LOWER('Clockify Raw'!A148)="break","Break",IF('Clockify Raw'!C148&lt;&gt;"",'Clockify Raw'!C148,IF('Clockify Raw'!D148&lt;&gt;"",'Clockify Raw'!D148,'Clockify Raw'!A148))))</f>
        <v/>
      </c>
      <c r="F148" s="24" t="str">
        <f>IF('Clockify Raw'!O148="","",'Clockify Raw'!O148/24)</f>
        <v/>
      </c>
      <c r="G148" t="str">
        <f>IF(A148="","",COUNTIFS($A$2:$A$1000,A148,$B$2:$B$1000,"&lt;"&amp;B148)+COUNTIFS($A$2:A148,A148,$B$2:B148,B148))</f>
        <v/>
      </c>
      <c r="H148" t="str">
        <f t="shared" si="2"/>
        <v/>
      </c>
    </row>
    <row r="149" spans="1:8">
      <c r="A149" s="25" t="str">
        <f>IF('Clockify Raw'!J149="","",'Clockify Raw'!J149)</f>
        <v/>
      </c>
      <c r="B149" s="23" t="str">
        <f>IF('Clockify Raw'!K149="","",VALUE('Clockify Raw'!K149))</f>
        <v/>
      </c>
      <c r="C149" s="23" t="str">
        <f>IF('Clockify Raw'!M149="","",VALUE('Clockify Raw'!M149))</f>
        <v/>
      </c>
      <c r="D149" t="str">
        <f>IF('Clockify Raw'!A149="","",IF(LOWER('Clockify Raw'!A149)="break","Break","Work"))</f>
        <v/>
      </c>
      <c r="E149" t="str">
        <f>IF('Clockify Raw'!A149="","",IF(LOWER('Clockify Raw'!A149)="break","Break",IF('Clockify Raw'!C149&lt;&gt;"",'Clockify Raw'!C149,IF('Clockify Raw'!D149&lt;&gt;"",'Clockify Raw'!D149,'Clockify Raw'!A149))))</f>
        <v/>
      </c>
      <c r="F149" s="24" t="str">
        <f>IF('Clockify Raw'!O149="","",'Clockify Raw'!O149/24)</f>
        <v/>
      </c>
      <c r="G149" t="str">
        <f>IF(A149="","",COUNTIFS($A$2:$A$1000,A149,$B$2:$B$1000,"&lt;"&amp;B149)+COUNTIFS($A$2:A149,A149,$B$2:B149,B149))</f>
        <v/>
      </c>
      <c r="H149" t="str">
        <f t="shared" si="2"/>
        <v/>
      </c>
    </row>
    <row r="150" spans="1:8">
      <c r="A150" s="25" t="str">
        <f>IF('Clockify Raw'!J150="","",'Clockify Raw'!J150)</f>
        <v/>
      </c>
      <c r="B150" s="23" t="str">
        <f>IF('Clockify Raw'!K150="","",VALUE('Clockify Raw'!K150))</f>
        <v/>
      </c>
      <c r="C150" s="23" t="str">
        <f>IF('Clockify Raw'!M150="","",VALUE('Clockify Raw'!M150))</f>
        <v/>
      </c>
      <c r="D150" t="str">
        <f>IF('Clockify Raw'!A150="","",IF(LOWER('Clockify Raw'!A150)="break","Break","Work"))</f>
        <v/>
      </c>
      <c r="E150" t="str">
        <f>IF('Clockify Raw'!A150="","",IF(LOWER('Clockify Raw'!A150)="break","Break",IF('Clockify Raw'!C150&lt;&gt;"",'Clockify Raw'!C150,IF('Clockify Raw'!D150&lt;&gt;"",'Clockify Raw'!D150,'Clockify Raw'!A150))))</f>
        <v/>
      </c>
      <c r="F150" s="24" t="str">
        <f>IF('Clockify Raw'!O150="","",'Clockify Raw'!O150/24)</f>
        <v/>
      </c>
      <c r="G150" t="str">
        <f>IF(A150="","",COUNTIFS($A$2:$A$1000,A150,$B$2:$B$1000,"&lt;"&amp;B150)+COUNTIFS($A$2:A150,A150,$B$2:B150,B150))</f>
        <v/>
      </c>
      <c r="H150" t="str">
        <f t="shared" si="2"/>
        <v/>
      </c>
    </row>
    <row r="151" spans="1:8">
      <c r="A151" s="25" t="str">
        <f>IF('Clockify Raw'!J151="","",'Clockify Raw'!J151)</f>
        <v/>
      </c>
      <c r="B151" s="23" t="str">
        <f>IF('Clockify Raw'!K151="","",VALUE('Clockify Raw'!K151))</f>
        <v/>
      </c>
      <c r="C151" s="23" t="str">
        <f>IF('Clockify Raw'!M151="","",VALUE('Clockify Raw'!M151))</f>
        <v/>
      </c>
      <c r="D151" t="str">
        <f>IF('Clockify Raw'!A151="","",IF(LOWER('Clockify Raw'!A151)="break","Break","Work"))</f>
        <v/>
      </c>
      <c r="E151" t="str">
        <f>IF('Clockify Raw'!A151="","",IF(LOWER('Clockify Raw'!A151)="break","Break",IF('Clockify Raw'!C151&lt;&gt;"",'Clockify Raw'!C151,IF('Clockify Raw'!D151&lt;&gt;"",'Clockify Raw'!D151,'Clockify Raw'!A151))))</f>
        <v/>
      </c>
      <c r="F151" s="24" t="str">
        <f>IF('Clockify Raw'!O151="","",'Clockify Raw'!O151/24)</f>
        <v/>
      </c>
      <c r="G151" t="str">
        <f>IF(A151="","",COUNTIFS($A$2:$A$1000,A151,$B$2:$B$1000,"&lt;"&amp;B151)+COUNTIFS($A$2:A151,A151,$B$2:B151,B151))</f>
        <v/>
      </c>
      <c r="H151" t="str">
        <f t="shared" si="2"/>
        <v/>
      </c>
    </row>
    <row r="152" spans="1:8">
      <c r="A152" s="25" t="str">
        <f>IF('Clockify Raw'!J152="","",'Clockify Raw'!J152)</f>
        <v/>
      </c>
      <c r="B152" s="23" t="str">
        <f>IF('Clockify Raw'!K152="","",VALUE('Clockify Raw'!K152))</f>
        <v/>
      </c>
      <c r="C152" s="23" t="str">
        <f>IF('Clockify Raw'!M152="","",VALUE('Clockify Raw'!M152))</f>
        <v/>
      </c>
      <c r="D152" t="str">
        <f>IF('Clockify Raw'!A152="","",IF(LOWER('Clockify Raw'!A152)="break","Break","Work"))</f>
        <v/>
      </c>
      <c r="E152" t="str">
        <f>IF('Clockify Raw'!A152="","",IF(LOWER('Clockify Raw'!A152)="break","Break",IF('Clockify Raw'!C152&lt;&gt;"",'Clockify Raw'!C152,IF('Clockify Raw'!D152&lt;&gt;"",'Clockify Raw'!D152,'Clockify Raw'!A152))))</f>
        <v/>
      </c>
      <c r="F152" s="24" t="str">
        <f>IF('Clockify Raw'!O152="","",'Clockify Raw'!O152/24)</f>
        <v/>
      </c>
      <c r="G152" t="str">
        <f>IF(A152="","",COUNTIFS($A$2:$A$1000,A152,$B$2:$B$1000,"&lt;"&amp;B152)+COUNTIFS($A$2:A152,A152,$B$2:B152,B152))</f>
        <v/>
      </c>
      <c r="H152" t="str">
        <f t="shared" si="2"/>
        <v/>
      </c>
    </row>
    <row r="153" spans="1:8">
      <c r="A153" s="25" t="str">
        <f>IF('Clockify Raw'!J153="","",'Clockify Raw'!J153)</f>
        <v/>
      </c>
      <c r="B153" s="23" t="str">
        <f>IF('Clockify Raw'!K153="","",VALUE('Clockify Raw'!K153))</f>
        <v/>
      </c>
      <c r="C153" s="23" t="str">
        <f>IF('Clockify Raw'!M153="","",VALUE('Clockify Raw'!M153))</f>
        <v/>
      </c>
      <c r="D153" t="str">
        <f>IF('Clockify Raw'!A153="","",IF(LOWER('Clockify Raw'!A153)="break","Break","Work"))</f>
        <v/>
      </c>
      <c r="E153" t="str">
        <f>IF('Clockify Raw'!A153="","",IF(LOWER('Clockify Raw'!A153)="break","Break",IF('Clockify Raw'!C153&lt;&gt;"",'Clockify Raw'!C153,IF('Clockify Raw'!D153&lt;&gt;"",'Clockify Raw'!D153,'Clockify Raw'!A153))))</f>
        <v/>
      </c>
      <c r="F153" s="24" t="str">
        <f>IF('Clockify Raw'!O153="","",'Clockify Raw'!O153/24)</f>
        <v/>
      </c>
      <c r="G153" t="str">
        <f>IF(A153="","",COUNTIFS($A$2:$A$1000,A153,$B$2:$B$1000,"&lt;"&amp;B153)+COUNTIFS($A$2:A153,A153,$B$2:B153,B153))</f>
        <v/>
      </c>
      <c r="H153" t="str">
        <f t="shared" si="2"/>
        <v/>
      </c>
    </row>
    <row r="154" spans="1:8">
      <c r="A154" s="25" t="str">
        <f>IF('Clockify Raw'!J154="","",'Clockify Raw'!J154)</f>
        <v/>
      </c>
      <c r="B154" s="23" t="str">
        <f>IF('Clockify Raw'!K154="","",VALUE('Clockify Raw'!K154))</f>
        <v/>
      </c>
      <c r="C154" s="23" t="str">
        <f>IF('Clockify Raw'!M154="","",VALUE('Clockify Raw'!M154))</f>
        <v/>
      </c>
      <c r="D154" t="str">
        <f>IF('Clockify Raw'!A154="","",IF(LOWER('Clockify Raw'!A154)="break","Break","Work"))</f>
        <v/>
      </c>
      <c r="E154" t="str">
        <f>IF('Clockify Raw'!A154="","",IF(LOWER('Clockify Raw'!A154)="break","Break",IF('Clockify Raw'!C154&lt;&gt;"",'Clockify Raw'!C154,IF('Clockify Raw'!D154&lt;&gt;"",'Clockify Raw'!D154,'Clockify Raw'!A154))))</f>
        <v/>
      </c>
      <c r="F154" s="24" t="str">
        <f>IF('Clockify Raw'!O154="","",'Clockify Raw'!O154/24)</f>
        <v/>
      </c>
      <c r="G154" t="str">
        <f>IF(A154="","",COUNTIFS($A$2:$A$1000,A154,$B$2:$B$1000,"&lt;"&amp;B154)+COUNTIFS($A$2:A154,A154,$B$2:B154,B154))</f>
        <v/>
      </c>
      <c r="H154" t="str">
        <f t="shared" si="2"/>
        <v/>
      </c>
    </row>
    <row r="155" spans="1:8">
      <c r="A155" s="25" t="str">
        <f>IF('Clockify Raw'!J155="","",'Clockify Raw'!J155)</f>
        <v/>
      </c>
      <c r="B155" s="23" t="str">
        <f>IF('Clockify Raw'!K155="","",VALUE('Clockify Raw'!K155))</f>
        <v/>
      </c>
      <c r="C155" s="23" t="str">
        <f>IF('Clockify Raw'!M155="","",VALUE('Clockify Raw'!M155))</f>
        <v/>
      </c>
      <c r="D155" t="str">
        <f>IF('Clockify Raw'!A155="","",IF(LOWER('Clockify Raw'!A155)="break","Break","Work"))</f>
        <v/>
      </c>
      <c r="E155" t="str">
        <f>IF('Clockify Raw'!A155="","",IF(LOWER('Clockify Raw'!A155)="break","Break",IF('Clockify Raw'!C155&lt;&gt;"",'Clockify Raw'!C155,IF('Clockify Raw'!D155&lt;&gt;"",'Clockify Raw'!D155,'Clockify Raw'!A155))))</f>
        <v/>
      </c>
      <c r="F155" s="24" t="str">
        <f>IF('Clockify Raw'!O155="","",'Clockify Raw'!O155/24)</f>
        <v/>
      </c>
      <c r="G155" t="str">
        <f>IF(A155="","",COUNTIFS($A$2:$A$1000,A155,$B$2:$B$1000,"&lt;"&amp;B155)+COUNTIFS($A$2:A155,A155,$B$2:B155,B155))</f>
        <v/>
      </c>
      <c r="H155" t="str">
        <f t="shared" si="2"/>
        <v/>
      </c>
    </row>
    <row r="156" spans="1:8">
      <c r="A156" s="25" t="str">
        <f>IF('Clockify Raw'!J156="","",'Clockify Raw'!J156)</f>
        <v/>
      </c>
      <c r="B156" s="23" t="str">
        <f>IF('Clockify Raw'!K156="","",VALUE('Clockify Raw'!K156))</f>
        <v/>
      </c>
      <c r="C156" s="23" t="str">
        <f>IF('Clockify Raw'!M156="","",VALUE('Clockify Raw'!M156))</f>
        <v/>
      </c>
      <c r="D156" t="str">
        <f>IF('Clockify Raw'!A156="","",IF(LOWER('Clockify Raw'!A156)="break","Break","Work"))</f>
        <v/>
      </c>
      <c r="E156" t="str">
        <f>IF('Clockify Raw'!A156="","",IF(LOWER('Clockify Raw'!A156)="break","Break",IF('Clockify Raw'!C156&lt;&gt;"",'Clockify Raw'!C156,IF('Clockify Raw'!D156&lt;&gt;"",'Clockify Raw'!D156,'Clockify Raw'!A156))))</f>
        <v/>
      </c>
      <c r="F156" s="24" t="str">
        <f>IF('Clockify Raw'!O156="","",'Clockify Raw'!O156/24)</f>
        <v/>
      </c>
      <c r="G156" t="str">
        <f>IF(A156="","",COUNTIFS($A$2:$A$1000,A156,$B$2:$B$1000,"&lt;"&amp;B156)+COUNTIFS($A$2:A156,A156,$B$2:B156,B156))</f>
        <v/>
      </c>
      <c r="H156" t="str">
        <f t="shared" si="2"/>
        <v/>
      </c>
    </row>
    <row r="157" spans="1:8">
      <c r="A157" s="25" t="str">
        <f>IF('Clockify Raw'!J157="","",'Clockify Raw'!J157)</f>
        <v/>
      </c>
      <c r="B157" s="23" t="str">
        <f>IF('Clockify Raw'!K157="","",VALUE('Clockify Raw'!K157))</f>
        <v/>
      </c>
      <c r="C157" s="23" t="str">
        <f>IF('Clockify Raw'!M157="","",VALUE('Clockify Raw'!M157))</f>
        <v/>
      </c>
      <c r="D157" t="str">
        <f>IF('Clockify Raw'!A157="","",IF(LOWER('Clockify Raw'!A157)="break","Break","Work"))</f>
        <v/>
      </c>
      <c r="E157" t="str">
        <f>IF('Clockify Raw'!A157="","",IF(LOWER('Clockify Raw'!A157)="break","Break",IF('Clockify Raw'!C157&lt;&gt;"",'Clockify Raw'!C157,IF('Clockify Raw'!D157&lt;&gt;"",'Clockify Raw'!D157,'Clockify Raw'!A157))))</f>
        <v/>
      </c>
      <c r="F157" s="24" t="str">
        <f>IF('Clockify Raw'!O157="","",'Clockify Raw'!O157/24)</f>
        <v/>
      </c>
      <c r="G157" t="str">
        <f>IF(A157="","",COUNTIFS($A$2:$A$1000,A157,$B$2:$B$1000,"&lt;"&amp;B157)+COUNTIFS($A$2:A157,A157,$B$2:B157,B157))</f>
        <v/>
      </c>
      <c r="H157" t="str">
        <f t="shared" si="2"/>
        <v/>
      </c>
    </row>
    <row r="158" spans="1:8">
      <c r="A158" s="25" t="str">
        <f>IF('Clockify Raw'!J158="","",'Clockify Raw'!J158)</f>
        <v/>
      </c>
      <c r="B158" s="23" t="str">
        <f>IF('Clockify Raw'!K158="","",VALUE('Clockify Raw'!K158))</f>
        <v/>
      </c>
      <c r="C158" s="23" t="str">
        <f>IF('Clockify Raw'!M158="","",VALUE('Clockify Raw'!M158))</f>
        <v/>
      </c>
      <c r="D158" t="str">
        <f>IF('Clockify Raw'!A158="","",IF(LOWER('Clockify Raw'!A158)="break","Break","Work"))</f>
        <v/>
      </c>
      <c r="E158" t="str">
        <f>IF('Clockify Raw'!A158="","",IF(LOWER('Clockify Raw'!A158)="break","Break",IF('Clockify Raw'!C158&lt;&gt;"",'Clockify Raw'!C158,IF('Clockify Raw'!D158&lt;&gt;"",'Clockify Raw'!D158,'Clockify Raw'!A158))))</f>
        <v/>
      </c>
      <c r="F158" s="24" t="str">
        <f>IF('Clockify Raw'!O158="","",'Clockify Raw'!O158/24)</f>
        <v/>
      </c>
      <c r="G158" t="str">
        <f>IF(A158="","",COUNTIFS($A$2:$A$1000,A158,$B$2:$B$1000,"&lt;"&amp;B158)+COUNTIFS($A$2:A158,A158,$B$2:B158,B158))</f>
        <v/>
      </c>
      <c r="H158" t="str">
        <f t="shared" si="2"/>
        <v/>
      </c>
    </row>
    <row r="159" spans="1:8">
      <c r="A159" s="25" t="str">
        <f>IF('Clockify Raw'!J159="","",'Clockify Raw'!J159)</f>
        <v/>
      </c>
      <c r="B159" s="23" t="str">
        <f>IF('Clockify Raw'!K159="","",VALUE('Clockify Raw'!K159))</f>
        <v/>
      </c>
      <c r="C159" s="23" t="str">
        <f>IF('Clockify Raw'!M159="","",VALUE('Clockify Raw'!M159))</f>
        <v/>
      </c>
      <c r="D159" t="str">
        <f>IF('Clockify Raw'!A159="","",IF(LOWER('Clockify Raw'!A159)="break","Break","Work"))</f>
        <v/>
      </c>
      <c r="E159" t="str">
        <f>IF('Clockify Raw'!A159="","",IF(LOWER('Clockify Raw'!A159)="break","Break",IF('Clockify Raw'!C159&lt;&gt;"",'Clockify Raw'!C159,IF('Clockify Raw'!D159&lt;&gt;"",'Clockify Raw'!D159,'Clockify Raw'!A159))))</f>
        <v/>
      </c>
      <c r="F159" s="24" t="str">
        <f>IF('Clockify Raw'!O159="","",'Clockify Raw'!O159/24)</f>
        <v/>
      </c>
      <c r="G159" t="str">
        <f>IF(A159="","",COUNTIFS($A$2:$A$1000,A159,$B$2:$B$1000,"&lt;"&amp;B159)+COUNTIFS($A$2:A159,A159,$B$2:B159,B159))</f>
        <v/>
      </c>
      <c r="H159" t="str">
        <f t="shared" si="2"/>
        <v/>
      </c>
    </row>
    <row r="160" spans="1:8">
      <c r="A160" s="25" t="str">
        <f>IF('Clockify Raw'!J160="","",'Clockify Raw'!J160)</f>
        <v/>
      </c>
      <c r="B160" s="23" t="str">
        <f>IF('Clockify Raw'!K160="","",VALUE('Clockify Raw'!K160))</f>
        <v/>
      </c>
      <c r="C160" s="23" t="str">
        <f>IF('Clockify Raw'!M160="","",VALUE('Clockify Raw'!M160))</f>
        <v/>
      </c>
      <c r="D160" t="str">
        <f>IF('Clockify Raw'!A160="","",IF(LOWER('Clockify Raw'!A160)="break","Break","Work"))</f>
        <v/>
      </c>
      <c r="E160" t="str">
        <f>IF('Clockify Raw'!A160="","",IF(LOWER('Clockify Raw'!A160)="break","Break",IF('Clockify Raw'!C160&lt;&gt;"",'Clockify Raw'!C160,IF('Clockify Raw'!D160&lt;&gt;"",'Clockify Raw'!D160,'Clockify Raw'!A160))))</f>
        <v/>
      </c>
      <c r="F160" s="24" t="str">
        <f>IF('Clockify Raw'!O160="","",'Clockify Raw'!O160/24)</f>
        <v/>
      </c>
      <c r="G160" t="str">
        <f>IF(A160="","",COUNTIFS($A$2:$A$1000,A160,$B$2:$B$1000,"&lt;"&amp;B160)+COUNTIFS($A$2:A160,A160,$B$2:B160,B160))</f>
        <v/>
      </c>
      <c r="H160" t="str">
        <f t="shared" si="2"/>
        <v/>
      </c>
    </row>
    <row r="161" spans="1:8">
      <c r="A161" s="25" t="str">
        <f>IF('Clockify Raw'!J161="","",'Clockify Raw'!J161)</f>
        <v/>
      </c>
      <c r="B161" s="23" t="str">
        <f>IF('Clockify Raw'!K161="","",VALUE('Clockify Raw'!K161))</f>
        <v/>
      </c>
      <c r="C161" s="23" t="str">
        <f>IF('Clockify Raw'!M161="","",VALUE('Clockify Raw'!M161))</f>
        <v/>
      </c>
      <c r="D161" t="str">
        <f>IF('Clockify Raw'!A161="","",IF(LOWER('Clockify Raw'!A161)="break","Break","Work"))</f>
        <v/>
      </c>
      <c r="E161" t="str">
        <f>IF('Clockify Raw'!A161="","",IF(LOWER('Clockify Raw'!A161)="break","Break",IF('Clockify Raw'!C161&lt;&gt;"",'Clockify Raw'!C161,IF('Clockify Raw'!D161&lt;&gt;"",'Clockify Raw'!D161,'Clockify Raw'!A161))))</f>
        <v/>
      </c>
      <c r="F161" s="24" t="str">
        <f>IF('Clockify Raw'!O161="","",'Clockify Raw'!O161/24)</f>
        <v/>
      </c>
      <c r="G161" t="str">
        <f>IF(A161="","",COUNTIFS($A$2:$A$1000,A161,$B$2:$B$1000,"&lt;"&amp;B161)+COUNTIFS($A$2:A161,A161,$B$2:B161,B161))</f>
        <v/>
      </c>
      <c r="H161" t="str">
        <f t="shared" si="2"/>
        <v/>
      </c>
    </row>
    <row r="162" spans="1:8">
      <c r="A162" s="25" t="str">
        <f>IF('Clockify Raw'!J162="","",'Clockify Raw'!J162)</f>
        <v/>
      </c>
      <c r="B162" s="23" t="str">
        <f>IF('Clockify Raw'!K162="","",VALUE('Clockify Raw'!K162))</f>
        <v/>
      </c>
      <c r="C162" s="23" t="str">
        <f>IF('Clockify Raw'!M162="","",VALUE('Clockify Raw'!M162))</f>
        <v/>
      </c>
      <c r="D162" t="str">
        <f>IF('Clockify Raw'!A162="","",IF(LOWER('Clockify Raw'!A162)="break","Break","Work"))</f>
        <v/>
      </c>
      <c r="E162" t="str">
        <f>IF('Clockify Raw'!A162="","",IF(LOWER('Clockify Raw'!A162)="break","Break",IF('Clockify Raw'!C162&lt;&gt;"",'Clockify Raw'!C162,IF('Clockify Raw'!D162&lt;&gt;"",'Clockify Raw'!D162,'Clockify Raw'!A162))))</f>
        <v/>
      </c>
      <c r="F162" s="24" t="str">
        <f>IF('Clockify Raw'!O162="","",'Clockify Raw'!O162/24)</f>
        <v/>
      </c>
      <c r="G162" t="str">
        <f>IF(A162="","",COUNTIFS($A$2:$A$1000,A162,$B$2:$B$1000,"&lt;"&amp;B162)+COUNTIFS($A$2:A162,A162,$B$2:B162,B162))</f>
        <v/>
      </c>
      <c r="H162" t="str">
        <f t="shared" si="2"/>
        <v/>
      </c>
    </row>
    <row r="163" spans="1:8">
      <c r="A163" s="25" t="str">
        <f>IF('Clockify Raw'!J163="","",'Clockify Raw'!J163)</f>
        <v/>
      </c>
      <c r="B163" s="23" t="str">
        <f>IF('Clockify Raw'!K163="","",VALUE('Clockify Raw'!K163))</f>
        <v/>
      </c>
      <c r="C163" s="23" t="str">
        <f>IF('Clockify Raw'!M163="","",VALUE('Clockify Raw'!M163))</f>
        <v/>
      </c>
      <c r="D163" t="str">
        <f>IF('Clockify Raw'!A163="","",IF(LOWER('Clockify Raw'!A163)="break","Break","Work"))</f>
        <v/>
      </c>
      <c r="E163" t="str">
        <f>IF('Clockify Raw'!A163="","",IF(LOWER('Clockify Raw'!A163)="break","Break",IF('Clockify Raw'!C163&lt;&gt;"",'Clockify Raw'!C163,IF('Clockify Raw'!D163&lt;&gt;"",'Clockify Raw'!D163,'Clockify Raw'!A163))))</f>
        <v/>
      </c>
      <c r="F163" s="24" t="str">
        <f>IF('Clockify Raw'!O163="","",'Clockify Raw'!O163/24)</f>
        <v/>
      </c>
      <c r="G163" t="str">
        <f>IF(A163="","",COUNTIFS($A$2:$A$1000,A163,$B$2:$B$1000,"&lt;"&amp;B163)+COUNTIFS($A$2:A163,A163,$B$2:B163,B163))</f>
        <v/>
      </c>
      <c r="H163" t="str">
        <f t="shared" si="2"/>
        <v/>
      </c>
    </row>
    <row r="164" spans="1:8">
      <c r="A164" s="25" t="str">
        <f>IF('Clockify Raw'!J164="","",'Clockify Raw'!J164)</f>
        <v/>
      </c>
      <c r="B164" s="23" t="str">
        <f>IF('Clockify Raw'!K164="","",VALUE('Clockify Raw'!K164))</f>
        <v/>
      </c>
      <c r="C164" s="23" t="str">
        <f>IF('Clockify Raw'!M164="","",VALUE('Clockify Raw'!M164))</f>
        <v/>
      </c>
      <c r="D164" t="str">
        <f>IF('Clockify Raw'!A164="","",IF(LOWER('Clockify Raw'!A164)="break","Break","Work"))</f>
        <v/>
      </c>
      <c r="E164" t="str">
        <f>IF('Clockify Raw'!A164="","",IF(LOWER('Clockify Raw'!A164)="break","Break",IF('Clockify Raw'!C164&lt;&gt;"",'Clockify Raw'!C164,IF('Clockify Raw'!D164&lt;&gt;"",'Clockify Raw'!D164,'Clockify Raw'!A164))))</f>
        <v/>
      </c>
      <c r="F164" s="24" t="str">
        <f>IF('Clockify Raw'!O164="","",'Clockify Raw'!O164/24)</f>
        <v/>
      </c>
      <c r="G164" t="str">
        <f>IF(A164="","",COUNTIFS($A$2:$A$1000,A164,$B$2:$B$1000,"&lt;"&amp;B164)+COUNTIFS($A$2:A164,A164,$B$2:B164,B164))</f>
        <v/>
      </c>
      <c r="H164" t="str">
        <f t="shared" si="2"/>
        <v/>
      </c>
    </row>
    <row r="165" spans="1:8">
      <c r="A165" s="25" t="str">
        <f>IF('Clockify Raw'!J165="","",'Clockify Raw'!J165)</f>
        <v/>
      </c>
      <c r="B165" s="23" t="str">
        <f>IF('Clockify Raw'!K165="","",VALUE('Clockify Raw'!K165))</f>
        <v/>
      </c>
      <c r="C165" s="23" t="str">
        <f>IF('Clockify Raw'!M165="","",VALUE('Clockify Raw'!M165))</f>
        <v/>
      </c>
      <c r="D165" t="str">
        <f>IF('Clockify Raw'!A165="","",IF(LOWER('Clockify Raw'!A165)="break","Break","Work"))</f>
        <v/>
      </c>
      <c r="E165" t="str">
        <f>IF('Clockify Raw'!A165="","",IF(LOWER('Clockify Raw'!A165)="break","Break",IF('Clockify Raw'!C165&lt;&gt;"",'Clockify Raw'!C165,IF('Clockify Raw'!D165&lt;&gt;"",'Clockify Raw'!D165,'Clockify Raw'!A165))))</f>
        <v/>
      </c>
      <c r="F165" s="24" t="str">
        <f>IF('Clockify Raw'!O165="","",'Clockify Raw'!O165/24)</f>
        <v/>
      </c>
      <c r="G165" t="str">
        <f>IF(A165="","",COUNTIFS($A$2:$A$1000,A165,$B$2:$B$1000,"&lt;"&amp;B165)+COUNTIFS($A$2:A165,A165,$B$2:B165,B165))</f>
        <v/>
      </c>
      <c r="H165" t="str">
        <f t="shared" si="2"/>
        <v/>
      </c>
    </row>
    <row r="166" spans="1:8">
      <c r="A166" s="25" t="str">
        <f>IF('Clockify Raw'!J166="","",'Clockify Raw'!J166)</f>
        <v/>
      </c>
      <c r="B166" s="23" t="str">
        <f>IF('Clockify Raw'!K166="","",VALUE('Clockify Raw'!K166))</f>
        <v/>
      </c>
      <c r="C166" s="23" t="str">
        <f>IF('Clockify Raw'!M166="","",VALUE('Clockify Raw'!M166))</f>
        <v/>
      </c>
      <c r="D166" t="str">
        <f>IF('Clockify Raw'!A166="","",IF(LOWER('Clockify Raw'!A166)="break","Break","Work"))</f>
        <v/>
      </c>
      <c r="E166" t="str">
        <f>IF('Clockify Raw'!A166="","",IF(LOWER('Clockify Raw'!A166)="break","Break",IF('Clockify Raw'!C166&lt;&gt;"",'Clockify Raw'!C166,IF('Clockify Raw'!D166&lt;&gt;"",'Clockify Raw'!D166,'Clockify Raw'!A166))))</f>
        <v/>
      </c>
      <c r="F166" s="24" t="str">
        <f>IF('Clockify Raw'!O166="","",'Clockify Raw'!O166/24)</f>
        <v/>
      </c>
      <c r="G166" t="str">
        <f>IF(A166="","",COUNTIFS($A$2:$A$1000,A166,$B$2:$B$1000,"&lt;"&amp;B166)+COUNTIFS($A$2:A166,A166,$B$2:B166,B166))</f>
        <v/>
      </c>
      <c r="H166" t="str">
        <f t="shared" si="2"/>
        <v/>
      </c>
    </row>
    <row r="167" spans="1:8">
      <c r="A167" s="25" t="str">
        <f>IF('Clockify Raw'!J167="","",'Clockify Raw'!J167)</f>
        <v/>
      </c>
      <c r="B167" s="23" t="str">
        <f>IF('Clockify Raw'!K167="","",VALUE('Clockify Raw'!K167))</f>
        <v/>
      </c>
      <c r="C167" s="23" t="str">
        <f>IF('Clockify Raw'!M167="","",VALUE('Clockify Raw'!M167))</f>
        <v/>
      </c>
      <c r="D167" t="str">
        <f>IF('Clockify Raw'!A167="","",IF(LOWER('Clockify Raw'!A167)="break","Break","Work"))</f>
        <v/>
      </c>
      <c r="E167" t="str">
        <f>IF('Clockify Raw'!A167="","",IF(LOWER('Clockify Raw'!A167)="break","Break",IF('Clockify Raw'!C167&lt;&gt;"",'Clockify Raw'!C167,IF('Clockify Raw'!D167&lt;&gt;"",'Clockify Raw'!D167,'Clockify Raw'!A167))))</f>
        <v/>
      </c>
      <c r="F167" s="24" t="str">
        <f>IF('Clockify Raw'!O167="","",'Clockify Raw'!O167/24)</f>
        <v/>
      </c>
      <c r="G167" t="str">
        <f>IF(A167="","",COUNTIFS($A$2:$A$1000,A167,$B$2:$B$1000,"&lt;"&amp;B167)+COUNTIFS($A$2:A167,A167,$B$2:B167,B167))</f>
        <v/>
      </c>
      <c r="H167" t="str">
        <f t="shared" si="2"/>
        <v/>
      </c>
    </row>
    <row r="168" spans="1:8">
      <c r="A168" s="25" t="str">
        <f>IF('Clockify Raw'!J168="","",'Clockify Raw'!J168)</f>
        <v/>
      </c>
      <c r="B168" s="23" t="str">
        <f>IF('Clockify Raw'!K168="","",VALUE('Clockify Raw'!K168))</f>
        <v/>
      </c>
      <c r="C168" s="23" t="str">
        <f>IF('Clockify Raw'!M168="","",VALUE('Clockify Raw'!M168))</f>
        <v/>
      </c>
      <c r="D168" t="str">
        <f>IF('Clockify Raw'!A168="","",IF(LOWER('Clockify Raw'!A168)="break","Break","Work"))</f>
        <v/>
      </c>
      <c r="E168" t="str">
        <f>IF('Clockify Raw'!A168="","",IF(LOWER('Clockify Raw'!A168)="break","Break",IF('Clockify Raw'!C168&lt;&gt;"",'Clockify Raw'!C168,IF('Clockify Raw'!D168&lt;&gt;"",'Clockify Raw'!D168,'Clockify Raw'!A168))))</f>
        <v/>
      </c>
      <c r="F168" s="24" t="str">
        <f>IF('Clockify Raw'!O168="","",'Clockify Raw'!O168/24)</f>
        <v/>
      </c>
      <c r="G168" t="str">
        <f>IF(A168="","",COUNTIFS($A$2:$A$1000,A168,$B$2:$B$1000,"&lt;"&amp;B168)+COUNTIFS($A$2:A168,A168,$B$2:B168,B168))</f>
        <v/>
      </c>
      <c r="H168" t="str">
        <f t="shared" si="2"/>
        <v/>
      </c>
    </row>
    <row r="169" spans="1:8">
      <c r="A169" s="25" t="str">
        <f>IF('Clockify Raw'!J169="","",'Clockify Raw'!J169)</f>
        <v/>
      </c>
      <c r="B169" s="23" t="str">
        <f>IF('Clockify Raw'!K169="","",VALUE('Clockify Raw'!K169))</f>
        <v/>
      </c>
      <c r="C169" s="23" t="str">
        <f>IF('Clockify Raw'!M169="","",VALUE('Clockify Raw'!M169))</f>
        <v/>
      </c>
      <c r="D169" t="str">
        <f>IF('Clockify Raw'!A169="","",IF(LOWER('Clockify Raw'!A169)="break","Break","Work"))</f>
        <v/>
      </c>
      <c r="E169" t="str">
        <f>IF('Clockify Raw'!A169="","",IF(LOWER('Clockify Raw'!A169)="break","Break",IF('Clockify Raw'!C169&lt;&gt;"",'Clockify Raw'!C169,IF('Clockify Raw'!D169&lt;&gt;"",'Clockify Raw'!D169,'Clockify Raw'!A169))))</f>
        <v/>
      </c>
      <c r="F169" s="24" t="str">
        <f>IF('Clockify Raw'!O169="","",'Clockify Raw'!O169/24)</f>
        <v/>
      </c>
      <c r="G169" t="str">
        <f>IF(A169="","",COUNTIFS($A$2:$A$1000,A169,$B$2:$B$1000,"&lt;"&amp;B169)+COUNTIFS($A$2:A169,A169,$B$2:B169,B169))</f>
        <v/>
      </c>
      <c r="H169" t="str">
        <f t="shared" si="2"/>
        <v/>
      </c>
    </row>
    <row r="170" spans="1:8">
      <c r="A170" s="25" t="str">
        <f>IF('Clockify Raw'!J170="","",'Clockify Raw'!J170)</f>
        <v/>
      </c>
      <c r="B170" s="23" t="str">
        <f>IF('Clockify Raw'!K170="","",VALUE('Clockify Raw'!K170))</f>
        <v/>
      </c>
      <c r="C170" s="23" t="str">
        <f>IF('Clockify Raw'!M170="","",VALUE('Clockify Raw'!M170))</f>
        <v/>
      </c>
      <c r="D170" t="str">
        <f>IF('Clockify Raw'!A170="","",IF(LOWER('Clockify Raw'!A170)="break","Break","Work"))</f>
        <v/>
      </c>
      <c r="E170" t="str">
        <f>IF('Clockify Raw'!A170="","",IF(LOWER('Clockify Raw'!A170)="break","Break",IF('Clockify Raw'!C170&lt;&gt;"",'Clockify Raw'!C170,IF('Clockify Raw'!D170&lt;&gt;"",'Clockify Raw'!D170,'Clockify Raw'!A170))))</f>
        <v/>
      </c>
      <c r="F170" s="24" t="str">
        <f>IF('Clockify Raw'!O170="","",'Clockify Raw'!O170/24)</f>
        <v/>
      </c>
      <c r="G170" t="str">
        <f>IF(A170="","",COUNTIFS($A$2:$A$1000,A170,$B$2:$B$1000,"&lt;"&amp;B170)+COUNTIFS($A$2:A170,A170,$B$2:B170,B170))</f>
        <v/>
      </c>
      <c r="H170" t="str">
        <f t="shared" si="2"/>
        <v/>
      </c>
    </row>
    <row r="171" spans="1:8">
      <c r="A171" s="25" t="str">
        <f>IF('Clockify Raw'!J171="","",'Clockify Raw'!J171)</f>
        <v/>
      </c>
      <c r="B171" s="23" t="str">
        <f>IF('Clockify Raw'!K171="","",VALUE('Clockify Raw'!K171))</f>
        <v/>
      </c>
      <c r="C171" s="23" t="str">
        <f>IF('Clockify Raw'!M171="","",VALUE('Clockify Raw'!M171))</f>
        <v/>
      </c>
      <c r="D171" t="str">
        <f>IF('Clockify Raw'!A171="","",IF(LOWER('Clockify Raw'!A171)="break","Break","Work"))</f>
        <v/>
      </c>
      <c r="E171" t="str">
        <f>IF('Clockify Raw'!A171="","",IF(LOWER('Clockify Raw'!A171)="break","Break",IF('Clockify Raw'!C171&lt;&gt;"",'Clockify Raw'!C171,IF('Clockify Raw'!D171&lt;&gt;"",'Clockify Raw'!D171,'Clockify Raw'!A171))))</f>
        <v/>
      </c>
      <c r="F171" s="24" t="str">
        <f>IF('Clockify Raw'!O171="","",'Clockify Raw'!O171/24)</f>
        <v/>
      </c>
      <c r="G171" t="str">
        <f>IF(A171="","",COUNTIFS($A$2:$A$1000,A171,$B$2:$B$1000,"&lt;"&amp;B171)+COUNTIFS($A$2:A171,A171,$B$2:B171,B171))</f>
        <v/>
      </c>
      <c r="H171" t="str">
        <f t="shared" si="2"/>
        <v/>
      </c>
    </row>
    <row r="172" spans="1:8">
      <c r="A172" s="25" t="str">
        <f>IF('Clockify Raw'!J172="","",'Clockify Raw'!J172)</f>
        <v/>
      </c>
      <c r="B172" s="23" t="str">
        <f>IF('Clockify Raw'!K172="","",VALUE('Clockify Raw'!K172))</f>
        <v/>
      </c>
      <c r="C172" s="23" t="str">
        <f>IF('Clockify Raw'!M172="","",VALUE('Clockify Raw'!M172))</f>
        <v/>
      </c>
      <c r="D172" t="str">
        <f>IF('Clockify Raw'!A172="","",IF(LOWER('Clockify Raw'!A172)="break","Break","Work"))</f>
        <v/>
      </c>
      <c r="E172" t="str">
        <f>IF('Clockify Raw'!A172="","",IF(LOWER('Clockify Raw'!A172)="break","Break",IF('Clockify Raw'!C172&lt;&gt;"",'Clockify Raw'!C172,IF('Clockify Raw'!D172&lt;&gt;"",'Clockify Raw'!D172,'Clockify Raw'!A172))))</f>
        <v/>
      </c>
      <c r="F172" s="24" t="str">
        <f>IF('Clockify Raw'!O172="","",'Clockify Raw'!O172/24)</f>
        <v/>
      </c>
      <c r="G172" t="str">
        <f>IF(A172="","",COUNTIFS($A$2:$A$1000,A172,$B$2:$B$1000,"&lt;"&amp;B172)+COUNTIFS($A$2:A172,A172,$B$2:B172,B172))</f>
        <v/>
      </c>
      <c r="H172" t="str">
        <f t="shared" si="2"/>
        <v/>
      </c>
    </row>
    <row r="173" spans="1:8">
      <c r="A173" s="25" t="str">
        <f>IF('Clockify Raw'!J173="","",'Clockify Raw'!J173)</f>
        <v/>
      </c>
      <c r="B173" s="23" t="str">
        <f>IF('Clockify Raw'!K173="","",VALUE('Clockify Raw'!K173))</f>
        <v/>
      </c>
      <c r="C173" s="23" t="str">
        <f>IF('Clockify Raw'!M173="","",VALUE('Clockify Raw'!M173))</f>
        <v/>
      </c>
      <c r="D173" t="str">
        <f>IF('Clockify Raw'!A173="","",IF(LOWER('Clockify Raw'!A173)="break","Break","Work"))</f>
        <v/>
      </c>
      <c r="E173" t="str">
        <f>IF('Clockify Raw'!A173="","",IF(LOWER('Clockify Raw'!A173)="break","Break",IF('Clockify Raw'!C173&lt;&gt;"",'Clockify Raw'!C173,IF('Clockify Raw'!D173&lt;&gt;"",'Clockify Raw'!D173,'Clockify Raw'!A173))))</f>
        <v/>
      </c>
      <c r="F173" s="24" t="str">
        <f>IF('Clockify Raw'!O173="","",'Clockify Raw'!O173/24)</f>
        <v/>
      </c>
      <c r="G173" t="str">
        <f>IF(A173="","",COUNTIFS($A$2:$A$1000,A173,$B$2:$B$1000,"&lt;"&amp;B173)+COUNTIFS($A$2:A173,A173,$B$2:B173,B173))</f>
        <v/>
      </c>
      <c r="H173" t="str">
        <f t="shared" si="2"/>
        <v/>
      </c>
    </row>
    <row r="174" spans="1:8">
      <c r="A174" s="25" t="str">
        <f>IF('Clockify Raw'!J174="","",'Clockify Raw'!J174)</f>
        <v/>
      </c>
      <c r="B174" s="23" t="str">
        <f>IF('Clockify Raw'!K174="","",VALUE('Clockify Raw'!K174))</f>
        <v/>
      </c>
      <c r="C174" s="23" t="str">
        <f>IF('Clockify Raw'!M174="","",VALUE('Clockify Raw'!M174))</f>
        <v/>
      </c>
      <c r="D174" t="str">
        <f>IF('Clockify Raw'!A174="","",IF(LOWER('Clockify Raw'!A174)="break","Break","Work"))</f>
        <v/>
      </c>
      <c r="E174" t="str">
        <f>IF('Clockify Raw'!A174="","",IF(LOWER('Clockify Raw'!A174)="break","Break",IF('Clockify Raw'!C174&lt;&gt;"",'Clockify Raw'!C174,IF('Clockify Raw'!D174&lt;&gt;"",'Clockify Raw'!D174,'Clockify Raw'!A174))))</f>
        <v/>
      </c>
      <c r="F174" s="24" t="str">
        <f>IF('Clockify Raw'!O174="","",'Clockify Raw'!O174/24)</f>
        <v/>
      </c>
      <c r="G174" t="str">
        <f>IF(A174="","",COUNTIFS($A$2:$A$1000,A174,$B$2:$B$1000,"&lt;"&amp;B174)+COUNTIFS($A$2:A174,A174,$B$2:B174,B174))</f>
        <v/>
      </c>
      <c r="H174" t="str">
        <f t="shared" si="2"/>
        <v/>
      </c>
    </row>
    <row r="175" spans="1:8">
      <c r="A175" s="25" t="str">
        <f>IF('Clockify Raw'!J175="","",'Clockify Raw'!J175)</f>
        <v/>
      </c>
      <c r="B175" s="23" t="str">
        <f>IF('Clockify Raw'!K175="","",VALUE('Clockify Raw'!K175))</f>
        <v/>
      </c>
      <c r="C175" s="23" t="str">
        <f>IF('Clockify Raw'!M175="","",VALUE('Clockify Raw'!M175))</f>
        <v/>
      </c>
      <c r="D175" t="str">
        <f>IF('Clockify Raw'!A175="","",IF(LOWER('Clockify Raw'!A175)="break","Break","Work"))</f>
        <v/>
      </c>
      <c r="E175" t="str">
        <f>IF('Clockify Raw'!A175="","",IF(LOWER('Clockify Raw'!A175)="break","Break",IF('Clockify Raw'!C175&lt;&gt;"",'Clockify Raw'!C175,IF('Clockify Raw'!D175&lt;&gt;"",'Clockify Raw'!D175,'Clockify Raw'!A175))))</f>
        <v/>
      </c>
      <c r="F175" s="24" t="str">
        <f>IF('Clockify Raw'!O175="","",'Clockify Raw'!O175/24)</f>
        <v/>
      </c>
      <c r="G175" t="str">
        <f>IF(A175="","",COUNTIFS($A$2:$A$1000,A175,$B$2:$B$1000,"&lt;"&amp;B175)+COUNTIFS($A$2:A175,A175,$B$2:B175,B175))</f>
        <v/>
      </c>
      <c r="H175" t="str">
        <f t="shared" si="2"/>
        <v/>
      </c>
    </row>
    <row r="176" spans="1:8">
      <c r="A176" s="25" t="str">
        <f>IF('Clockify Raw'!J176="","",'Clockify Raw'!J176)</f>
        <v/>
      </c>
      <c r="B176" s="23" t="str">
        <f>IF('Clockify Raw'!K176="","",VALUE('Clockify Raw'!K176))</f>
        <v/>
      </c>
      <c r="C176" s="23" t="str">
        <f>IF('Clockify Raw'!M176="","",VALUE('Clockify Raw'!M176))</f>
        <v/>
      </c>
      <c r="D176" t="str">
        <f>IF('Clockify Raw'!A176="","",IF(LOWER('Clockify Raw'!A176)="break","Break","Work"))</f>
        <v/>
      </c>
      <c r="E176" t="str">
        <f>IF('Clockify Raw'!A176="","",IF(LOWER('Clockify Raw'!A176)="break","Break",IF('Clockify Raw'!C176&lt;&gt;"",'Clockify Raw'!C176,IF('Clockify Raw'!D176&lt;&gt;"",'Clockify Raw'!D176,'Clockify Raw'!A176))))</f>
        <v/>
      </c>
      <c r="F176" s="24" t="str">
        <f>IF('Clockify Raw'!O176="","",'Clockify Raw'!O176/24)</f>
        <v/>
      </c>
      <c r="G176" t="str">
        <f>IF(A176="","",COUNTIFS($A$2:$A$1000,A176,$B$2:$B$1000,"&lt;"&amp;B176)+COUNTIFS($A$2:A176,A176,$B$2:B176,B176))</f>
        <v/>
      </c>
      <c r="H176" t="str">
        <f t="shared" si="2"/>
        <v/>
      </c>
    </row>
    <row r="177" spans="1:8">
      <c r="A177" s="25" t="str">
        <f>IF('Clockify Raw'!J177="","",'Clockify Raw'!J177)</f>
        <v/>
      </c>
      <c r="B177" s="23" t="str">
        <f>IF('Clockify Raw'!K177="","",VALUE('Clockify Raw'!K177))</f>
        <v/>
      </c>
      <c r="C177" s="23" t="str">
        <f>IF('Clockify Raw'!M177="","",VALUE('Clockify Raw'!M177))</f>
        <v/>
      </c>
      <c r="D177" t="str">
        <f>IF('Clockify Raw'!A177="","",IF(LOWER('Clockify Raw'!A177)="break","Break","Work"))</f>
        <v/>
      </c>
      <c r="E177" t="str">
        <f>IF('Clockify Raw'!A177="","",IF(LOWER('Clockify Raw'!A177)="break","Break",IF('Clockify Raw'!C177&lt;&gt;"",'Clockify Raw'!C177,IF('Clockify Raw'!D177&lt;&gt;"",'Clockify Raw'!D177,'Clockify Raw'!A177))))</f>
        <v/>
      </c>
      <c r="F177" s="24" t="str">
        <f>IF('Clockify Raw'!O177="","",'Clockify Raw'!O177/24)</f>
        <v/>
      </c>
      <c r="G177" t="str">
        <f>IF(A177="","",COUNTIFS($A$2:$A$1000,A177,$B$2:$B$1000,"&lt;"&amp;B177)+COUNTIFS($A$2:A177,A177,$B$2:B177,B177))</f>
        <v/>
      </c>
      <c r="H177" t="str">
        <f t="shared" si="2"/>
        <v/>
      </c>
    </row>
    <row r="178" spans="1:8">
      <c r="A178" s="25" t="str">
        <f>IF('Clockify Raw'!J178="","",'Clockify Raw'!J178)</f>
        <v/>
      </c>
      <c r="B178" s="23" t="str">
        <f>IF('Clockify Raw'!K178="","",VALUE('Clockify Raw'!K178))</f>
        <v/>
      </c>
      <c r="C178" s="23" t="str">
        <f>IF('Clockify Raw'!M178="","",VALUE('Clockify Raw'!M178))</f>
        <v/>
      </c>
      <c r="D178" t="str">
        <f>IF('Clockify Raw'!A178="","",IF(LOWER('Clockify Raw'!A178)="break","Break","Work"))</f>
        <v/>
      </c>
      <c r="E178" t="str">
        <f>IF('Clockify Raw'!A178="","",IF(LOWER('Clockify Raw'!A178)="break","Break",IF('Clockify Raw'!C178&lt;&gt;"",'Clockify Raw'!C178,IF('Clockify Raw'!D178&lt;&gt;"",'Clockify Raw'!D178,'Clockify Raw'!A178))))</f>
        <v/>
      </c>
      <c r="F178" s="24" t="str">
        <f>IF('Clockify Raw'!O178="","",'Clockify Raw'!O178/24)</f>
        <v/>
      </c>
      <c r="G178" t="str">
        <f>IF(A178="","",COUNTIFS($A$2:$A$1000,A178,$B$2:$B$1000,"&lt;"&amp;B178)+COUNTIFS($A$2:A178,A178,$B$2:B178,B178))</f>
        <v/>
      </c>
      <c r="H178" t="str">
        <f t="shared" si="2"/>
        <v/>
      </c>
    </row>
    <row r="179" spans="1:8">
      <c r="A179" s="25" t="str">
        <f>IF('Clockify Raw'!J179="","",'Clockify Raw'!J179)</f>
        <v/>
      </c>
      <c r="B179" s="23" t="str">
        <f>IF('Clockify Raw'!K179="","",VALUE('Clockify Raw'!K179))</f>
        <v/>
      </c>
      <c r="C179" s="23" t="str">
        <f>IF('Clockify Raw'!M179="","",VALUE('Clockify Raw'!M179))</f>
        <v/>
      </c>
      <c r="D179" t="str">
        <f>IF('Clockify Raw'!A179="","",IF(LOWER('Clockify Raw'!A179)="break","Break","Work"))</f>
        <v/>
      </c>
      <c r="E179" t="str">
        <f>IF('Clockify Raw'!A179="","",IF(LOWER('Clockify Raw'!A179)="break","Break",IF('Clockify Raw'!C179&lt;&gt;"",'Clockify Raw'!C179,IF('Clockify Raw'!D179&lt;&gt;"",'Clockify Raw'!D179,'Clockify Raw'!A179))))</f>
        <v/>
      </c>
      <c r="F179" s="24" t="str">
        <f>IF('Clockify Raw'!O179="","",'Clockify Raw'!O179/24)</f>
        <v/>
      </c>
      <c r="G179" t="str">
        <f>IF(A179="","",COUNTIFS($A$2:$A$1000,A179,$B$2:$B$1000,"&lt;"&amp;B179)+COUNTIFS($A$2:A179,A179,$B$2:B179,B179))</f>
        <v/>
      </c>
      <c r="H179" t="str">
        <f t="shared" si="2"/>
        <v/>
      </c>
    </row>
    <row r="180" spans="1:8">
      <c r="A180" s="25" t="str">
        <f>IF('Clockify Raw'!J180="","",'Clockify Raw'!J180)</f>
        <v/>
      </c>
      <c r="B180" s="23" t="str">
        <f>IF('Clockify Raw'!K180="","",VALUE('Clockify Raw'!K180))</f>
        <v/>
      </c>
      <c r="C180" s="23" t="str">
        <f>IF('Clockify Raw'!M180="","",VALUE('Clockify Raw'!M180))</f>
        <v/>
      </c>
      <c r="D180" t="str">
        <f>IF('Clockify Raw'!A180="","",IF(LOWER('Clockify Raw'!A180)="break","Break","Work"))</f>
        <v/>
      </c>
      <c r="E180" t="str">
        <f>IF('Clockify Raw'!A180="","",IF(LOWER('Clockify Raw'!A180)="break","Break",IF('Clockify Raw'!C180&lt;&gt;"",'Clockify Raw'!C180,IF('Clockify Raw'!D180&lt;&gt;"",'Clockify Raw'!D180,'Clockify Raw'!A180))))</f>
        <v/>
      </c>
      <c r="F180" s="24" t="str">
        <f>IF('Clockify Raw'!O180="","",'Clockify Raw'!O180/24)</f>
        <v/>
      </c>
      <c r="G180" t="str">
        <f>IF(A180="","",COUNTIFS($A$2:$A$1000,A180,$B$2:$B$1000,"&lt;"&amp;B180)+COUNTIFS($A$2:A180,A180,$B$2:B180,B180))</f>
        <v/>
      </c>
      <c r="H180" t="str">
        <f t="shared" si="2"/>
        <v/>
      </c>
    </row>
    <row r="181" spans="1:8">
      <c r="A181" s="25" t="str">
        <f>IF('Clockify Raw'!J181="","",'Clockify Raw'!J181)</f>
        <v/>
      </c>
      <c r="B181" s="23" t="str">
        <f>IF('Clockify Raw'!K181="","",VALUE('Clockify Raw'!K181))</f>
        <v/>
      </c>
      <c r="C181" s="23" t="str">
        <f>IF('Clockify Raw'!M181="","",VALUE('Clockify Raw'!M181))</f>
        <v/>
      </c>
      <c r="D181" t="str">
        <f>IF('Clockify Raw'!A181="","",IF(LOWER('Clockify Raw'!A181)="break","Break","Work"))</f>
        <v/>
      </c>
      <c r="E181" t="str">
        <f>IF('Clockify Raw'!A181="","",IF(LOWER('Clockify Raw'!A181)="break","Break",IF('Clockify Raw'!C181&lt;&gt;"",'Clockify Raw'!C181,IF('Clockify Raw'!D181&lt;&gt;"",'Clockify Raw'!D181,'Clockify Raw'!A181))))</f>
        <v/>
      </c>
      <c r="F181" s="24" t="str">
        <f>IF('Clockify Raw'!O181="","",'Clockify Raw'!O181/24)</f>
        <v/>
      </c>
      <c r="G181" t="str">
        <f>IF(A181="","",COUNTIFS($A$2:$A$1000,A181,$B$2:$B$1000,"&lt;"&amp;B181)+COUNTIFS($A$2:A181,A181,$B$2:B181,B181))</f>
        <v/>
      </c>
      <c r="H181" t="str">
        <f t="shared" si="2"/>
        <v/>
      </c>
    </row>
    <row r="182" spans="1:8">
      <c r="A182" s="25" t="str">
        <f>IF('Clockify Raw'!J182="","",'Clockify Raw'!J182)</f>
        <v/>
      </c>
      <c r="B182" s="23" t="str">
        <f>IF('Clockify Raw'!K182="","",VALUE('Clockify Raw'!K182))</f>
        <v/>
      </c>
      <c r="C182" s="23" t="str">
        <f>IF('Clockify Raw'!M182="","",VALUE('Clockify Raw'!M182))</f>
        <v/>
      </c>
      <c r="D182" t="str">
        <f>IF('Clockify Raw'!A182="","",IF(LOWER('Clockify Raw'!A182)="break","Break","Work"))</f>
        <v/>
      </c>
      <c r="E182" t="str">
        <f>IF('Clockify Raw'!A182="","",IF(LOWER('Clockify Raw'!A182)="break","Break",IF('Clockify Raw'!C182&lt;&gt;"",'Clockify Raw'!C182,IF('Clockify Raw'!D182&lt;&gt;"",'Clockify Raw'!D182,'Clockify Raw'!A182))))</f>
        <v/>
      </c>
      <c r="F182" s="24" t="str">
        <f>IF('Clockify Raw'!O182="","",'Clockify Raw'!O182/24)</f>
        <v/>
      </c>
      <c r="G182" t="str">
        <f>IF(A182="","",COUNTIFS($A$2:$A$1000,A182,$B$2:$B$1000,"&lt;"&amp;B182)+COUNTIFS($A$2:A182,A182,$B$2:B182,B182))</f>
        <v/>
      </c>
      <c r="H182" t="str">
        <f t="shared" si="2"/>
        <v/>
      </c>
    </row>
    <row r="183" spans="1:8">
      <c r="A183" s="25" t="str">
        <f>IF('Clockify Raw'!J183="","",'Clockify Raw'!J183)</f>
        <v/>
      </c>
      <c r="B183" s="23" t="str">
        <f>IF('Clockify Raw'!K183="","",VALUE('Clockify Raw'!K183))</f>
        <v/>
      </c>
      <c r="C183" s="23" t="str">
        <f>IF('Clockify Raw'!M183="","",VALUE('Clockify Raw'!M183))</f>
        <v/>
      </c>
      <c r="D183" t="str">
        <f>IF('Clockify Raw'!A183="","",IF(LOWER('Clockify Raw'!A183)="break","Break","Work"))</f>
        <v/>
      </c>
      <c r="E183" t="str">
        <f>IF('Clockify Raw'!A183="","",IF(LOWER('Clockify Raw'!A183)="break","Break",IF('Clockify Raw'!C183&lt;&gt;"",'Clockify Raw'!C183,IF('Clockify Raw'!D183&lt;&gt;"",'Clockify Raw'!D183,'Clockify Raw'!A183))))</f>
        <v/>
      </c>
      <c r="F183" s="24" t="str">
        <f>IF('Clockify Raw'!O183="","",'Clockify Raw'!O183/24)</f>
        <v/>
      </c>
      <c r="G183" t="str">
        <f>IF(A183="","",COUNTIFS($A$2:$A$1000,A183,$B$2:$B$1000,"&lt;"&amp;B183)+COUNTIFS($A$2:A183,A183,$B$2:B183,B183))</f>
        <v/>
      </c>
      <c r="H183" t="str">
        <f t="shared" si="2"/>
        <v/>
      </c>
    </row>
    <row r="184" spans="1:8">
      <c r="A184" s="25" t="str">
        <f>IF('Clockify Raw'!J184="","",'Clockify Raw'!J184)</f>
        <v/>
      </c>
      <c r="B184" s="23" t="str">
        <f>IF('Clockify Raw'!K184="","",VALUE('Clockify Raw'!K184))</f>
        <v/>
      </c>
      <c r="C184" s="23" t="str">
        <f>IF('Clockify Raw'!M184="","",VALUE('Clockify Raw'!M184))</f>
        <v/>
      </c>
      <c r="D184" t="str">
        <f>IF('Clockify Raw'!A184="","",IF(LOWER('Clockify Raw'!A184)="break","Break","Work"))</f>
        <v/>
      </c>
      <c r="E184" t="str">
        <f>IF('Clockify Raw'!A184="","",IF(LOWER('Clockify Raw'!A184)="break","Break",IF('Clockify Raw'!C184&lt;&gt;"",'Clockify Raw'!C184,IF('Clockify Raw'!D184&lt;&gt;"",'Clockify Raw'!D184,'Clockify Raw'!A184))))</f>
        <v/>
      </c>
      <c r="F184" s="24" t="str">
        <f>IF('Clockify Raw'!O184="","",'Clockify Raw'!O184/24)</f>
        <v/>
      </c>
      <c r="G184" t="str">
        <f>IF(A184="","",COUNTIFS($A$2:$A$1000,A184,$B$2:$B$1000,"&lt;"&amp;B184)+COUNTIFS($A$2:A184,A184,$B$2:B184,B184))</f>
        <v/>
      </c>
      <c r="H184" t="str">
        <f t="shared" si="2"/>
        <v/>
      </c>
    </row>
    <row r="185" spans="1:8">
      <c r="A185" s="25" t="str">
        <f>IF('Clockify Raw'!J185="","",'Clockify Raw'!J185)</f>
        <v/>
      </c>
      <c r="B185" s="23" t="str">
        <f>IF('Clockify Raw'!K185="","",VALUE('Clockify Raw'!K185))</f>
        <v/>
      </c>
      <c r="C185" s="23" t="str">
        <f>IF('Clockify Raw'!M185="","",VALUE('Clockify Raw'!M185))</f>
        <v/>
      </c>
      <c r="D185" t="str">
        <f>IF('Clockify Raw'!A185="","",IF(LOWER('Clockify Raw'!A185)="break","Break","Work"))</f>
        <v/>
      </c>
      <c r="E185" t="str">
        <f>IF('Clockify Raw'!A185="","",IF(LOWER('Clockify Raw'!A185)="break","Break",IF('Clockify Raw'!C185&lt;&gt;"",'Clockify Raw'!C185,IF('Clockify Raw'!D185&lt;&gt;"",'Clockify Raw'!D185,'Clockify Raw'!A185))))</f>
        <v/>
      </c>
      <c r="F185" s="24" t="str">
        <f>IF('Clockify Raw'!O185="","",'Clockify Raw'!O185/24)</f>
        <v/>
      </c>
      <c r="G185" t="str">
        <f>IF(A185="","",COUNTIFS($A$2:$A$1000,A185,$B$2:$B$1000,"&lt;"&amp;B185)+COUNTIFS($A$2:A185,A185,$B$2:B185,B185))</f>
        <v/>
      </c>
      <c r="H185" t="str">
        <f t="shared" si="2"/>
        <v/>
      </c>
    </row>
    <row r="186" spans="1:8">
      <c r="A186" s="25" t="str">
        <f>IF('Clockify Raw'!J186="","",'Clockify Raw'!J186)</f>
        <v/>
      </c>
      <c r="B186" s="23" t="str">
        <f>IF('Clockify Raw'!K186="","",VALUE('Clockify Raw'!K186))</f>
        <v/>
      </c>
      <c r="C186" s="23" t="str">
        <f>IF('Clockify Raw'!M186="","",VALUE('Clockify Raw'!M186))</f>
        <v/>
      </c>
      <c r="D186" t="str">
        <f>IF('Clockify Raw'!A186="","",IF(LOWER('Clockify Raw'!A186)="break","Break","Work"))</f>
        <v/>
      </c>
      <c r="E186" t="str">
        <f>IF('Clockify Raw'!A186="","",IF(LOWER('Clockify Raw'!A186)="break","Break",IF('Clockify Raw'!C186&lt;&gt;"",'Clockify Raw'!C186,IF('Clockify Raw'!D186&lt;&gt;"",'Clockify Raw'!D186,'Clockify Raw'!A186))))</f>
        <v/>
      </c>
      <c r="F186" s="24" t="str">
        <f>IF('Clockify Raw'!O186="","",'Clockify Raw'!O186/24)</f>
        <v/>
      </c>
      <c r="G186" t="str">
        <f>IF(A186="","",COUNTIFS($A$2:$A$1000,A186,$B$2:$B$1000,"&lt;"&amp;B186)+COUNTIFS($A$2:A186,A186,$B$2:B186,B186))</f>
        <v/>
      </c>
      <c r="H186" t="str">
        <f t="shared" si="2"/>
        <v/>
      </c>
    </row>
    <row r="187" spans="1:8">
      <c r="A187" s="25" t="str">
        <f>IF('Clockify Raw'!J187="","",'Clockify Raw'!J187)</f>
        <v/>
      </c>
      <c r="B187" s="23" t="str">
        <f>IF('Clockify Raw'!K187="","",VALUE('Clockify Raw'!K187))</f>
        <v/>
      </c>
      <c r="C187" s="23" t="str">
        <f>IF('Clockify Raw'!M187="","",VALUE('Clockify Raw'!M187))</f>
        <v/>
      </c>
      <c r="D187" t="str">
        <f>IF('Clockify Raw'!A187="","",IF(LOWER('Clockify Raw'!A187)="break","Break","Work"))</f>
        <v/>
      </c>
      <c r="E187" t="str">
        <f>IF('Clockify Raw'!A187="","",IF(LOWER('Clockify Raw'!A187)="break","Break",IF('Clockify Raw'!C187&lt;&gt;"",'Clockify Raw'!C187,IF('Clockify Raw'!D187&lt;&gt;"",'Clockify Raw'!D187,'Clockify Raw'!A187))))</f>
        <v/>
      </c>
      <c r="F187" s="24" t="str">
        <f>IF('Clockify Raw'!O187="","",'Clockify Raw'!O187/24)</f>
        <v/>
      </c>
      <c r="G187" t="str">
        <f>IF(A187="","",COUNTIFS($A$2:$A$1000,A187,$B$2:$B$1000,"&lt;"&amp;B187)+COUNTIFS($A$2:A187,A187,$B$2:B187,B187))</f>
        <v/>
      </c>
      <c r="H187" t="str">
        <f t="shared" si="2"/>
        <v/>
      </c>
    </row>
    <row r="188" spans="1:8">
      <c r="A188" s="25" t="str">
        <f>IF('Clockify Raw'!J188="","",'Clockify Raw'!J188)</f>
        <v/>
      </c>
      <c r="B188" s="23" t="str">
        <f>IF('Clockify Raw'!K188="","",VALUE('Clockify Raw'!K188))</f>
        <v/>
      </c>
      <c r="C188" s="23" t="str">
        <f>IF('Clockify Raw'!M188="","",VALUE('Clockify Raw'!M188))</f>
        <v/>
      </c>
      <c r="D188" t="str">
        <f>IF('Clockify Raw'!A188="","",IF(LOWER('Clockify Raw'!A188)="break","Break","Work"))</f>
        <v/>
      </c>
      <c r="E188" t="str">
        <f>IF('Clockify Raw'!A188="","",IF(LOWER('Clockify Raw'!A188)="break","Break",IF('Clockify Raw'!C188&lt;&gt;"",'Clockify Raw'!C188,IF('Clockify Raw'!D188&lt;&gt;"",'Clockify Raw'!D188,'Clockify Raw'!A188))))</f>
        <v/>
      </c>
      <c r="F188" s="24" t="str">
        <f>IF('Clockify Raw'!O188="","",'Clockify Raw'!O188/24)</f>
        <v/>
      </c>
      <c r="G188" t="str">
        <f>IF(A188="","",COUNTIFS($A$2:$A$1000,A188,$B$2:$B$1000,"&lt;"&amp;B188)+COUNTIFS($A$2:A188,A188,$B$2:B188,B188))</f>
        <v/>
      </c>
      <c r="H188" t="str">
        <f t="shared" si="2"/>
        <v/>
      </c>
    </row>
    <row r="189" spans="1:8">
      <c r="A189" s="25" t="str">
        <f>IF('Clockify Raw'!J189="","",'Clockify Raw'!J189)</f>
        <v/>
      </c>
      <c r="B189" s="23" t="str">
        <f>IF('Clockify Raw'!K189="","",VALUE('Clockify Raw'!K189))</f>
        <v/>
      </c>
      <c r="C189" s="23" t="str">
        <f>IF('Clockify Raw'!M189="","",VALUE('Clockify Raw'!M189))</f>
        <v/>
      </c>
      <c r="D189" t="str">
        <f>IF('Clockify Raw'!A189="","",IF(LOWER('Clockify Raw'!A189)="break","Break","Work"))</f>
        <v/>
      </c>
      <c r="E189" t="str">
        <f>IF('Clockify Raw'!A189="","",IF(LOWER('Clockify Raw'!A189)="break","Break",IF('Clockify Raw'!C189&lt;&gt;"",'Clockify Raw'!C189,IF('Clockify Raw'!D189&lt;&gt;"",'Clockify Raw'!D189,'Clockify Raw'!A189))))</f>
        <v/>
      </c>
      <c r="F189" s="24" t="str">
        <f>IF('Clockify Raw'!O189="","",'Clockify Raw'!O189/24)</f>
        <v/>
      </c>
      <c r="G189" t="str">
        <f>IF(A189="","",COUNTIFS($A$2:$A$1000,A189,$B$2:$B$1000,"&lt;"&amp;B189)+COUNTIFS($A$2:A189,A189,$B$2:B189,B189))</f>
        <v/>
      </c>
      <c r="H189" t="str">
        <f t="shared" si="2"/>
        <v/>
      </c>
    </row>
    <row r="190" spans="1:8">
      <c r="A190" s="25" t="str">
        <f>IF('Clockify Raw'!J190="","",'Clockify Raw'!J190)</f>
        <v/>
      </c>
      <c r="B190" s="23" t="str">
        <f>IF('Clockify Raw'!K190="","",VALUE('Clockify Raw'!K190))</f>
        <v/>
      </c>
      <c r="C190" s="23" t="str">
        <f>IF('Clockify Raw'!M190="","",VALUE('Clockify Raw'!M190))</f>
        <v/>
      </c>
      <c r="D190" t="str">
        <f>IF('Clockify Raw'!A190="","",IF(LOWER('Clockify Raw'!A190)="break","Break","Work"))</f>
        <v/>
      </c>
      <c r="E190" t="str">
        <f>IF('Clockify Raw'!A190="","",IF(LOWER('Clockify Raw'!A190)="break","Break",IF('Clockify Raw'!C190&lt;&gt;"",'Clockify Raw'!C190,IF('Clockify Raw'!D190&lt;&gt;"",'Clockify Raw'!D190,'Clockify Raw'!A190))))</f>
        <v/>
      </c>
      <c r="F190" s="24" t="str">
        <f>IF('Clockify Raw'!O190="","",'Clockify Raw'!O190/24)</f>
        <v/>
      </c>
      <c r="G190" t="str">
        <f>IF(A190="","",COUNTIFS($A$2:$A$1000,A190,$B$2:$B$1000,"&lt;"&amp;B190)+COUNTIFS($A$2:A190,A190,$B$2:B190,B190))</f>
        <v/>
      </c>
      <c r="H190" t="str">
        <f t="shared" si="2"/>
        <v/>
      </c>
    </row>
    <row r="191" spans="1:8">
      <c r="A191" s="25" t="str">
        <f>IF('Clockify Raw'!J191="","",'Clockify Raw'!J191)</f>
        <v/>
      </c>
      <c r="B191" s="23" t="str">
        <f>IF('Clockify Raw'!K191="","",VALUE('Clockify Raw'!K191))</f>
        <v/>
      </c>
      <c r="C191" s="23" t="str">
        <f>IF('Clockify Raw'!M191="","",VALUE('Clockify Raw'!M191))</f>
        <v/>
      </c>
      <c r="D191" t="str">
        <f>IF('Clockify Raw'!A191="","",IF(LOWER('Clockify Raw'!A191)="break","Break","Work"))</f>
        <v/>
      </c>
      <c r="E191" t="str">
        <f>IF('Clockify Raw'!A191="","",IF(LOWER('Clockify Raw'!A191)="break","Break",IF('Clockify Raw'!C191&lt;&gt;"",'Clockify Raw'!C191,IF('Clockify Raw'!D191&lt;&gt;"",'Clockify Raw'!D191,'Clockify Raw'!A191))))</f>
        <v/>
      </c>
      <c r="F191" s="24" t="str">
        <f>IF('Clockify Raw'!O191="","",'Clockify Raw'!O191/24)</f>
        <v/>
      </c>
      <c r="G191" t="str">
        <f>IF(A191="","",COUNTIFS($A$2:$A$1000,A191,$B$2:$B$1000,"&lt;"&amp;B191)+COUNTIFS($A$2:A191,A191,$B$2:B191,B191))</f>
        <v/>
      </c>
      <c r="H191" t="str">
        <f t="shared" si="2"/>
        <v/>
      </c>
    </row>
    <row r="192" spans="1:8">
      <c r="A192" s="25" t="str">
        <f>IF('Clockify Raw'!J192="","",'Clockify Raw'!J192)</f>
        <v/>
      </c>
      <c r="B192" s="23" t="str">
        <f>IF('Clockify Raw'!K192="","",VALUE('Clockify Raw'!K192))</f>
        <v/>
      </c>
      <c r="C192" s="23" t="str">
        <f>IF('Clockify Raw'!M192="","",VALUE('Clockify Raw'!M192))</f>
        <v/>
      </c>
      <c r="D192" t="str">
        <f>IF('Clockify Raw'!A192="","",IF(LOWER('Clockify Raw'!A192)="break","Break","Work"))</f>
        <v/>
      </c>
      <c r="E192" t="str">
        <f>IF('Clockify Raw'!A192="","",IF(LOWER('Clockify Raw'!A192)="break","Break",IF('Clockify Raw'!C192&lt;&gt;"",'Clockify Raw'!C192,IF('Clockify Raw'!D192&lt;&gt;"",'Clockify Raw'!D192,'Clockify Raw'!A192))))</f>
        <v/>
      </c>
      <c r="F192" s="24" t="str">
        <f>IF('Clockify Raw'!O192="","",'Clockify Raw'!O192/24)</f>
        <v/>
      </c>
      <c r="G192" t="str">
        <f>IF(A192="","",COUNTIFS($A$2:$A$1000,A192,$B$2:$B$1000,"&lt;"&amp;B192)+COUNTIFS($A$2:A192,A192,$B$2:B192,B192))</f>
        <v/>
      </c>
      <c r="H192" t="str">
        <f t="shared" si="2"/>
        <v/>
      </c>
    </row>
    <row r="193" spans="1:8">
      <c r="A193" s="25" t="str">
        <f>IF('Clockify Raw'!J193="","",'Clockify Raw'!J193)</f>
        <v/>
      </c>
      <c r="B193" s="23" t="str">
        <f>IF('Clockify Raw'!K193="","",VALUE('Clockify Raw'!K193))</f>
        <v/>
      </c>
      <c r="C193" s="23" t="str">
        <f>IF('Clockify Raw'!M193="","",VALUE('Clockify Raw'!M193))</f>
        <v/>
      </c>
      <c r="D193" t="str">
        <f>IF('Clockify Raw'!A193="","",IF(LOWER('Clockify Raw'!A193)="break","Break","Work"))</f>
        <v/>
      </c>
      <c r="E193" t="str">
        <f>IF('Clockify Raw'!A193="","",IF(LOWER('Clockify Raw'!A193)="break","Break",IF('Clockify Raw'!C193&lt;&gt;"",'Clockify Raw'!C193,IF('Clockify Raw'!D193&lt;&gt;"",'Clockify Raw'!D193,'Clockify Raw'!A193))))</f>
        <v/>
      </c>
      <c r="F193" s="24" t="str">
        <f>IF('Clockify Raw'!O193="","",'Clockify Raw'!O193/24)</f>
        <v/>
      </c>
      <c r="G193" t="str">
        <f>IF(A193="","",COUNTIFS($A$2:$A$1000,A193,$B$2:$B$1000,"&lt;"&amp;B193)+COUNTIFS($A$2:A193,A193,$B$2:B193,B193))</f>
        <v/>
      </c>
      <c r="H193" t="str">
        <f t="shared" si="2"/>
        <v/>
      </c>
    </row>
    <row r="194" spans="1:8">
      <c r="A194" s="25" t="str">
        <f>IF('Clockify Raw'!J194="","",'Clockify Raw'!J194)</f>
        <v/>
      </c>
      <c r="B194" s="23" t="str">
        <f>IF('Clockify Raw'!K194="","",VALUE('Clockify Raw'!K194))</f>
        <v/>
      </c>
      <c r="C194" s="23" t="str">
        <f>IF('Clockify Raw'!M194="","",VALUE('Clockify Raw'!M194))</f>
        <v/>
      </c>
      <c r="D194" t="str">
        <f>IF('Clockify Raw'!A194="","",IF(LOWER('Clockify Raw'!A194)="break","Break","Work"))</f>
        <v/>
      </c>
      <c r="E194" t="str">
        <f>IF('Clockify Raw'!A194="","",IF(LOWER('Clockify Raw'!A194)="break","Break",IF('Clockify Raw'!C194&lt;&gt;"",'Clockify Raw'!C194,IF('Clockify Raw'!D194&lt;&gt;"",'Clockify Raw'!D194,'Clockify Raw'!A194))))</f>
        <v/>
      </c>
      <c r="F194" s="24" t="str">
        <f>IF('Clockify Raw'!O194="","",'Clockify Raw'!O194/24)</f>
        <v/>
      </c>
      <c r="G194" t="str">
        <f>IF(A194="","",COUNTIFS($A$2:$A$1000,A194,$B$2:$B$1000,"&lt;"&amp;B194)+COUNTIFS($A$2:A194,A194,$B$2:B194,B194))</f>
        <v/>
      </c>
      <c r="H194" t="str">
        <f t="shared" ref="H194:H257" si="3">IF(A194="","",TEXT(A194,"yyyymmdd")&amp;"|"&amp;G194)</f>
        <v/>
      </c>
    </row>
    <row r="195" spans="1:8">
      <c r="A195" s="25" t="str">
        <f>IF('Clockify Raw'!J195="","",'Clockify Raw'!J195)</f>
        <v/>
      </c>
      <c r="B195" s="23" t="str">
        <f>IF('Clockify Raw'!K195="","",VALUE('Clockify Raw'!K195))</f>
        <v/>
      </c>
      <c r="C195" s="23" t="str">
        <f>IF('Clockify Raw'!M195="","",VALUE('Clockify Raw'!M195))</f>
        <v/>
      </c>
      <c r="D195" t="str">
        <f>IF('Clockify Raw'!A195="","",IF(LOWER('Clockify Raw'!A195)="break","Break","Work"))</f>
        <v/>
      </c>
      <c r="E195" t="str">
        <f>IF('Clockify Raw'!A195="","",IF(LOWER('Clockify Raw'!A195)="break","Break",IF('Clockify Raw'!C195&lt;&gt;"",'Clockify Raw'!C195,IF('Clockify Raw'!D195&lt;&gt;"",'Clockify Raw'!D195,'Clockify Raw'!A195))))</f>
        <v/>
      </c>
      <c r="F195" s="24" t="str">
        <f>IF('Clockify Raw'!O195="","",'Clockify Raw'!O195/24)</f>
        <v/>
      </c>
      <c r="G195" t="str">
        <f>IF(A195="","",COUNTIFS($A$2:$A$1000,A195,$B$2:$B$1000,"&lt;"&amp;B195)+COUNTIFS($A$2:A195,A195,$B$2:B195,B195))</f>
        <v/>
      </c>
      <c r="H195" t="str">
        <f t="shared" si="3"/>
        <v/>
      </c>
    </row>
    <row r="196" spans="1:8">
      <c r="A196" s="25" t="str">
        <f>IF('Clockify Raw'!J196="","",'Clockify Raw'!J196)</f>
        <v/>
      </c>
      <c r="B196" s="23" t="str">
        <f>IF('Clockify Raw'!K196="","",VALUE('Clockify Raw'!K196))</f>
        <v/>
      </c>
      <c r="C196" s="23" t="str">
        <f>IF('Clockify Raw'!M196="","",VALUE('Clockify Raw'!M196))</f>
        <v/>
      </c>
      <c r="D196" t="str">
        <f>IF('Clockify Raw'!A196="","",IF(LOWER('Clockify Raw'!A196)="break","Break","Work"))</f>
        <v/>
      </c>
      <c r="E196" t="str">
        <f>IF('Clockify Raw'!A196="","",IF(LOWER('Clockify Raw'!A196)="break","Break",IF('Clockify Raw'!C196&lt;&gt;"",'Clockify Raw'!C196,IF('Clockify Raw'!D196&lt;&gt;"",'Clockify Raw'!D196,'Clockify Raw'!A196))))</f>
        <v/>
      </c>
      <c r="F196" s="24" t="str">
        <f>IF('Clockify Raw'!O196="","",'Clockify Raw'!O196/24)</f>
        <v/>
      </c>
      <c r="G196" t="str">
        <f>IF(A196="","",COUNTIFS($A$2:$A$1000,A196,$B$2:$B$1000,"&lt;"&amp;B196)+COUNTIFS($A$2:A196,A196,$B$2:B196,B196))</f>
        <v/>
      </c>
      <c r="H196" t="str">
        <f t="shared" si="3"/>
        <v/>
      </c>
    </row>
    <row r="197" spans="1:8">
      <c r="A197" s="25" t="str">
        <f>IF('Clockify Raw'!J197="","",'Clockify Raw'!J197)</f>
        <v/>
      </c>
      <c r="B197" s="23" t="str">
        <f>IF('Clockify Raw'!K197="","",VALUE('Clockify Raw'!K197))</f>
        <v/>
      </c>
      <c r="C197" s="23" t="str">
        <f>IF('Clockify Raw'!M197="","",VALUE('Clockify Raw'!M197))</f>
        <v/>
      </c>
      <c r="D197" t="str">
        <f>IF('Clockify Raw'!A197="","",IF(LOWER('Clockify Raw'!A197)="break","Break","Work"))</f>
        <v/>
      </c>
      <c r="E197" t="str">
        <f>IF('Clockify Raw'!A197="","",IF(LOWER('Clockify Raw'!A197)="break","Break",IF('Clockify Raw'!C197&lt;&gt;"",'Clockify Raw'!C197,IF('Clockify Raw'!D197&lt;&gt;"",'Clockify Raw'!D197,'Clockify Raw'!A197))))</f>
        <v/>
      </c>
      <c r="F197" s="24" t="str">
        <f>IF('Clockify Raw'!O197="","",'Clockify Raw'!O197/24)</f>
        <v/>
      </c>
      <c r="G197" t="str">
        <f>IF(A197="","",COUNTIFS($A$2:$A$1000,A197,$B$2:$B$1000,"&lt;"&amp;B197)+COUNTIFS($A$2:A197,A197,$B$2:B197,B197))</f>
        <v/>
      </c>
      <c r="H197" t="str">
        <f t="shared" si="3"/>
        <v/>
      </c>
    </row>
    <row r="198" spans="1:8">
      <c r="A198" s="25" t="str">
        <f>IF('Clockify Raw'!J198="","",'Clockify Raw'!J198)</f>
        <v/>
      </c>
      <c r="B198" s="23" t="str">
        <f>IF('Clockify Raw'!K198="","",VALUE('Clockify Raw'!K198))</f>
        <v/>
      </c>
      <c r="C198" s="23" t="str">
        <f>IF('Clockify Raw'!M198="","",VALUE('Clockify Raw'!M198))</f>
        <v/>
      </c>
      <c r="D198" t="str">
        <f>IF('Clockify Raw'!A198="","",IF(LOWER('Clockify Raw'!A198)="break","Break","Work"))</f>
        <v/>
      </c>
      <c r="E198" t="str">
        <f>IF('Clockify Raw'!A198="","",IF(LOWER('Clockify Raw'!A198)="break","Break",IF('Clockify Raw'!C198&lt;&gt;"",'Clockify Raw'!C198,IF('Clockify Raw'!D198&lt;&gt;"",'Clockify Raw'!D198,'Clockify Raw'!A198))))</f>
        <v/>
      </c>
      <c r="F198" s="24" t="str">
        <f>IF('Clockify Raw'!O198="","",'Clockify Raw'!O198/24)</f>
        <v/>
      </c>
      <c r="G198" t="str">
        <f>IF(A198="","",COUNTIFS($A$2:$A$1000,A198,$B$2:$B$1000,"&lt;"&amp;B198)+COUNTIFS($A$2:A198,A198,$B$2:B198,B198))</f>
        <v/>
      </c>
      <c r="H198" t="str">
        <f t="shared" si="3"/>
        <v/>
      </c>
    </row>
    <row r="199" spans="1:8">
      <c r="A199" s="25" t="str">
        <f>IF('Clockify Raw'!J199="","",'Clockify Raw'!J199)</f>
        <v/>
      </c>
      <c r="B199" s="23" t="str">
        <f>IF('Clockify Raw'!K199="","",VALUE('Clockify Raw'!K199))</f>
        <v/>
      </c>
      <c r="C199" s="23" t="str">
        <f>IF('Clockify Raw'!M199="","",VALUE('Clockify Raw'!M199))</f>
        <v/>
      </c>
      <c r="D199" t="str">
        <f>IF('Clockify Raw'!A199="","",IF(LOWER('Clockify Raw'!A199)="break","Break","Work"))</f>
        <v/>
      </c>
      <c r="E199" t="str">
        <f>IF('Clockify Raw'!A199="","",IF(LOWER('Clockify Raw'!A199)="break","Break",IF('Clockify Raw'!C199&lt;&gt;"",'Clockify Raw'!C199,IF('Clockify Raw'!D199&lt;&gt;"",'Clockify Raw'!D199,'Clockify Raw'!A199))))</f>
        <v/>
      </c>
      <c r="F199" s="24" t="str">
        <f>IF('Clockify Raw'!O199="","",'Clockify Raw'!O199/24)</f>
        <v/>
      </c>
      <c r="G199" t="str">
        <f>IF(A199="","",COUNTIFS($A$2:$A$1000,A199,$B$2:$B$1000,"&lt;"&amp;B199)+COUNTIFS($A$2:A199,A199,$B$2:B199,B199))</f>
        <v/>
      </c>
      <c r="H199" t="str">
        <f t="shared" si="3"/>
        <v/>
      </c>
    </row>
    <row r="200" spans="1:8">
      <c r="A200" s="25" t="str">
        <f>IF('Clockify Raw'!J200="","",'Clockify Raw'!J200)</f>
        <v/>
      </c>
      <c r="B200" s="23" t="str">
        <f>IF('Clockify Raw'!K200="","",VALUE('Clockify Raw'!K200))</f>
        <v/>
      </c>
      <c r="C200" s="23" t="str">
        <f>IF('Clockify Raw'!M200="","",VALUE('Clockify Raw'!M200))</f>
        <v/>
      </c>
      <c r="D200" t="str">
        <f>IF('Clockify Raw'!A200="","",IF(LOWER('Clockify Raw'!A200)="break","Break","Work"))</f>
        <v/>
      </c>
      <c r="E200" t="str">
        <f>IF('Clockify Raw'!A200="","",IF(LOWER('Clockify Raw'!A200)="break","Break",IF('Clockify Raw'!C200&lt;&gt;"",'Clockify Raw'!C200,IF('Clockify Raw'!D200&lt;&gt;"",'Clockify Raw'!D200,'Clockify Raw'!A200))))</f>
        <v/>
      </c>
      <c r="F200" s="24" t="str">
        <f>IF('Clockify Raw'!O200="","",'Clockify Raw'!O200/24)</f>
        <v/>
      </c>
      <c r="G200" t="str">
        <f>IF(A200="","",COUNTIFS($A$2:$A$1000,A200,$B$2:$B$1000,"&lt;"&amp;B200)+COUNTIFS($A$2:A200,A200,$B$2:B200,B200))</f>
        <v/>
      </c>
      <c r="H200" t="str">
        <f t="shared" si="3"/>
        <v/>
      </c>
    </row>
    <row r="201" spans="1:8">
      <c r="A201" s="25" t="str">
        <f>IF('Clockify Raw'!J201="","",'Clockify Raw'!J201)</f>
        <v/>
      </c>
      <c r="B201" s="23" t="str">
        <f>IF('Clockify Raw'!K201="","",VALUE('Clockify Raw'!K201))</f>
        <v/>
      </c>
      <c r="C201" s="23" t="str">
        <f>IF('Clockify Raw'!M201="","",VALUE('Clockify Raw'!M201))</f>
        <v/>
      </c>
      <c r="D201" t="str">
        <f>IF('Clockify Raw'!A201="","",IF(LOWER('Clockify Raw'!A201)="break","Break","Work"))</f>
        <v/>
      </c>
      <c r="E201" t="str">
        <f>IF('Clockify Raw'!A201="","",IF(LOWER('Clockify Raw'!A201)="break","Break",IF('Clockify Raw'!C201&lt;&gt;"",'Clockify Raw'!C201,IF('Clockify Raw'!D201&lt;&gt;"",'Clockify Raw'!D201,'Clockify Raw'!A201))))</f>
        <v/>
      </c>
      <c r="F201" s="24" t="str">
        <f>IF('Clockify Raw'!O201="","",'Clockify Raw'!O201/24)</f>
        <v/>
      </c>
      <c r="G201" t="str">
        <f>IF(A201="","",COUNTIFS($A$2:$A$1000,A201,$B$2:$B$1000,"&lt;"&amp;B201)+COUNTIFS($A$2:A201,A201,$B$2:B201,B201))</f>
        <v/>
      </c>
      <c r="H201" t="str">
        <f t="shared" si="3"/>
        <v/>
      </c>
    </row>
    <row r="202" spans="1:8">
      <c r="A202" s="25" t="str">
        <f>IF('Clockify Raw'!J202="","",'Clockify Raw'!J202)</f>
        <v/>
      </c>
      <c r="B202" s="23" t="str">
        <f>IF('Clockify Raw'!K202="","",VALUE('Clockify Raw'!K202))</f>
        <v/>
      </c>
      <c r="C202" s="23" t="str">
        <f>IF('Clockify Raw'!M202="","",VALUE('Clockify Raw'!M202))</f>
        <v/>
      </c>
      <c r="D202" t="str">
        <f>IF('Clockify Raw'!A202="","",IF(LOWER('Clockify Raw'!A202)="break","Break","Work"))</f>
        <v/>
      </c>
      <c r="E202" t="str">
        <f>IF('Clockify Raw'!A202="","",IF(LOWER('Clockify Raw'!A202)="break","Break",IF('Clockify Raw'!C202&lt;&gt;"",'Clockify Raw'!C202,IF('Clockify Raw'!D202&lt;&gt;"",'Clockify Raw'!D202,'Clockify Raw'!A202))))</f>
        <v/>
      </c>
      <c r="F202" s="24" t="str">
        <f>IF('Clockify Raw'!O202="","",'Clockify Raw'!O202/24)</f>
        <v/>
      </c>
      <c r="G202" t="str">
        <f>IF(A202="","",COUNTIFS($A$2:$A$1000,A202,$B$2:$B$1000,"&lt;"&amp;B202)+COUNTIFS($A$2:A202,A202,$B$2:B202,B202))</f>
        <v/>
      </c>
      <c r="H202" t="str">
        <f t="shared" si="3"/>
        <v/>
      </c>
    </row>
    <row r="203" spans="1:8">
      <c r="A203" s="25" t="str">
        <f>IF('Clockify Raw'!J203="","",'Clockify Raw'!J203)</f>
        <v/>
      </c>
      <c r="B203" s="23" t="str">
        <f>IF('Clockify Raw'!K203="","",VALUE('Clockify Raw'!K203))</f>
        <v/>
      </c>
      <c r="C203" s="23" t="str">
        <f>IF('Clockify Raw'!M203="","",VALUE('Clockify Raw'!M203))</f>
        <v/>
      </c>
      <c r="D203" t="str">
        <f>IF('Clockify Raw'!A203="","",IF(LOWER('Clockify Raw'!A203)="break","Break","Work"))</f>
        <v/>
      </c>
      <c r="E203" t="str">
        <f>IF('Clockify Raw'!A203="","",IF(LOWER('Clockify Raw'!A203)="break","Break",IF('Clockify Raw'!C203&lt;&gt;"",'Clockify Raw'!C203,IF('Clockify Raw'!D203&lt;&gt;"",'Clockify Raw'!D203,'Clockify Raw'!A203))))</f>
        <v/>
      </c>
      <c r="F203" s="24" t="str">
        <f>IF('Clockify Raw'!O203="","",'Clockify Raw'!O203/24)</f>
        <v/>
      </c>
      <c r="G203" t="str">
        <f>IF(A203="","",COUNTIFS($A$2:$A$1000,A203,$B$2:$B$1000,"&lt;"&amp;B203)+COUNTIFS($A$2:A203,A203,$B$2:B203,B203))</f>
        <v/>
      </c>
      <c r="H203" t="str">
        <f t="shared" si="3"/>
        <v/>
      </c>
    </row>
    <row r="204" spans="1:8">
      <c r="A204" s="25" t="str">
        <f>IF('Clockify Raw'!J204="","",'Clockify Raw'!J204)</f>
        <v/>
      </c>
      <c r="B204" s="23" t="str">
        <f>IF('Clockify Raw'!K204="","",VALUE('Clockify Raw'!K204))</f>
        <v/>
      </c>
      <c r="C204" s="23" t="str">
        <f>IF('Clockify Raw'!M204="","",VALUE('Clockify Raw'!M204))</f>
        <v/>
      </c>
      <c r="D204" t="str">
        <f>IF('Clockify Raw'!A204="","",IF(LOWER('Clockify Raw'!A204)="break","Break","Work"))</f>
        <v/>
      </c>
      <c r="E204" t="str">
        <f>IF('Clockify Raw'!A204="","",IF(LOWER('Clockify Raw'!A204)="break","Break",IF('Clockify Raw'!C204&lt;&gt;"",'Clockify Raw'!C204,IF('Clockify Raw'!D204&lt;&gt;"",'Clockify Raw'!D204,'Clockify Raw'!A204))))</f>
        <v/>
      </c>
      <c r="F204" s="24" t="str">
        <f>IF('Clockify Raw'!O204="","",'Clockify Raw'!O204/24)</f>
        <v/>
      </c>
      <c r="G204" t="str">
        <f>IF(A204="","",COUNTIFS($A$2:$A$1000,A204,$B$2:$B$1000,"&lt;"&amp;B204)+COUNTIFS($A$2:A204,A204,$B$2:B204,B204))</f>
        <v/>
      </c>
      <c r="H204" t="str">
        <f t="shared" si="3"/>
        <v/>
      </c>
    </row>
    <row r="205" spans="1:8">
      <c r="A205" s="25" t="str">
        <f>IF('Clockify Raw'!J205="","",'Clockify Raw'!J205)</f>
        <v/>
      </c>
      <c r="B205" s="23" t="str">
        <f>IF('Clockify Raw'!K205="","",VALUE('Clockify Raw'!K205))</f>
        <v/>
      </c>
      <c r="C205" s="23" t="str">
        <f>IF('Clockify Raw'!M205="","",VALUE('Clockify Raw'!M205))</f>
        <v/>
      </c>
      <c r="D205" t="str">
        <f>IF('Clockify Raw'!A205="","",IF(LOWER('Clockify Raw'!A205)="break","Break","Work"))</f>
        <v/>
      </c>
      <c r="E205" t="str">
        <f>IF('Clockify Raw'!A205="","",IF(LOWER('Clockify Raw'!A205)="break","Break",IF('Clockify Raw'!C205&lt;&gt;"",'Clockify Raw'!C205,IF('Clockify Raw'!D205&lt;&gt;"",'Clockify Raw'!D205,'Clockify Raw'!A205))))</f>
        <v/>
      </c>
      <c r="F205" s="24" t="str">
        <f>IF('Clockify Raw'!O205="","",'Clockify Raw'!O205/24)</f>
        <v/>
      </c>
      <c r="G205" t="str">
        <f>IF(A205="","",COUNTIFS($A$2:$A$1000,A205,$B$2:$B$1000,"&lt;"&amp;B205)+COUNTIFS($A$2:A205,A205,$B$2:B205,B205))</f>
        <v/>
      </c>
      <c r="H205" t="str">
        <f t="shared" si="3"/>
        <v/>
      </c>
    </row>
    <row r="206" spans="1:8">
      <c r="A206" s="25" t="str">
        <f>IF('Clockify Raw'!J206="","",'Clockify Raw'!J206)</f>
        <v/>
      </c>
      <c r="B206" s="23" t="str">
        <f>IF('Clockify Raw'!K206="","",VALUE('Clockify Raw'!K206))</f>
        <v/>
      </c>
      <c r="C206" s="23" t="str">
        <f>IF('Clockify Raw'!M206="","",VALUE('Clockify Raw'!M206))</f>
        <v/>
      </c>
      <c r="D206" t="str">
        <f>IF('Clockify Raw'!A206="","",IF(LOWER('Clockify Raw'!A206)="break","Break","Work"))</f>
        <v/>
      </c>
      <c r="E206" t="str">
        <f>IF('Clockify Raw'!A206="","",IF(LOWER('Clockify Raw'!A206)="break","Break",IF('Clockify Raw'!C206&lt;&gt;"",'Clockify Raw'!C206,IF('Clockify Raw'!D206&lt;&gt;"",'Clockify Raw'!D206,'Clockify Raw'!A206))))</f>
        <v/>
      </c>
      <c r="F206" s="24" t="str">
        <f>IF('Clockify Raw'!O206="","",'Clockify Raw'!O206/24)</f>
        <v/>
      </c>
      <c r="G206" t="str">
        <f>IF(A206="","",COUNTIFS($A$2:$A$1000,A206,$B$2:$B$1000,"&lt;"&amp;B206)+COUNTIFS($A$2:A206,A206,$B$2:B206,B206))</f>
        <v/>
      </c>
      <c r="H206" t="str">
        <f t="shared" si="3"/>
        <v/>
      </c>
    </row>
    <row r="207" spans="1:8">
      <c r="A207" s="25" t="str">
        <f>IF('Clockify Raw'!J207="","",'Clockify Raw'!J207)</f>
        <v/>
      </c>
      <c r="B207" s="23" t="str">
        <f>IF('Clockify Raw'!K207="","",VALUE('Clockify Raw'!K207))</f>
        <v/>
      </c>
      <c r="C207" s="23" t="str">
        <f>IF('Clockify Raw'!M207="","",VALUE('Clockify Raw'!M207))</f>
        <v/>
      </c>
      <c r="D207" t="str">
        <f>IF('Clockify Raw'!A207="","",IF(LOWER('Clockify Raw'!A207)="break","Break","Work"))</f>
        <v/>
      </c>
      <c r="E207" t="str">
        <f>IF('Clockify Raw'!A207="","",IF(LOWER('Clockify Raw'!A207)="break","Break",IF('Clockify Raw'!C207&lt;&gt;"",'Clockify Raw'!C207,IF('Clockify Raw'!D207&lt;&gt;"",'Clockify Raw'!D207,'Clockify Raw'!A207))))</f>
        <v/>
      </c>
      <c r="F207" s="24" t="str">
        <f>IF('Clockify Raw'!O207="","",'Clockify Raw'!O207/24)</f>
        <v/>
      </c>
      <c r="G207" t="str">
        <f>IF(A207="","",COUNTIFS($A$2:$A$1000,A207,$B$2:$B$1000,"&lt;"&amp;B207)+COUNTIFS($A$2:A207,A207,$B$2:B207,B207))</f>
        <v/>
      </c>
      <c r="H207" t="str">
        <f t="shared" si="3"/>
        <v/>
      </c>
    </row>
    <row r="208" spans="1:8">
      <c r="A208" s="25" t="str">
        <f>IF('Clockify Raw'!J208="","",'Clockify Raw'!J208)</f>
        <v/>
      </c>
      <c r="B208" s="23" t="str">
        <f>IF('Clockify Raw'!K208="","",VALUE('Clockify Raw'!K208))</f>
        <v/>
      </c>
      <c r="C208" s="23" t="str">
        <f>IF('Clockify Raw'!M208="","",VALUE('Clockify Raw'!M208))</f>
        <v/>
      </c>
      <c r="D208" t="str">
        <f>IF('Clockify Raw'!A208="","",IF(LOWER('Clockify Raw'!A208)="break","Break","Work"))</f>
        <v/>
      </c>
      <c r="E208" t="str">
        <f>IF('Clockify Raw'!A208="","",IF(LOWER('Clockify Raw'!A208)="break","Break",IF('Clockify Raw'!C208&lt;&gt;"",'Clockify Raw'!C208,IF('Clockify Raw'!D208&lt;&gt;"",'Clockify Raw'!D208,'Clockify Raw'!A208))))</f>
        <v/>
      </c>
      <c r="F208" s="24" t="str">
        <f>IF('Clockify Raw'!O208="","",'Clockify Raw'!O208/24)</f>
        <v/>
      </c>
      <c r="G208" t="str">
        <f>IF(A208="","",COUNTIFS($A$2:$A$1000,A208,$B$2:$B$1000,"&lt;"&amp;B208)+COUNTIFS($A$2:A208,A208,$B$2:B208,B208))</f>
        <v/>
      </c>
      <c r="H208" t="str">
        <f t="shared" si="3"/>
        <v/>
      </c>
    </row>
    <row r="209" spans="1:8">
      <c r="A209" s="25" t="str">
        <f>IF('Clockify Raw'!J209="","",'Clockify Raw'!J209)</f>
        <v/>
      </c>
      <c r="B209" s="23" t="str">
        <f>IF('Clockify Raw'!K209="","",VALUE('Clockify Raw'!K209))</f>
        <v/>
      </c>
      <c r="C209" s="23" t="str">
        <f>IF('Clockify Raw'!M209="","",VALUE('Clockify Raw'!M209))</f>
        <v/>
      </c>
      <c r="D209" t="str">
        <f>IF('Clockify Raw'!A209="","",IF(LOWER('Clockify Raw'!A209)="break","Break","Work"))</f>
        <v/>
      </c>
      <c r="E209" t="str">
        <f>IF('Clockify Raw'!A209="","",IF(LOWER('Clockify Raw'!A209)="break","Break",IF('Clockify Raw'!C209&lt;&gt;"",'Clockify Raw'!C209,IF('Clockify Raw'!D209&lt;&gt;"",'Clockify Raw'!D209,'Clockify Raw'!A209))))</f>
        <v/>
      </c>
      <c r="F209" s="24" t="str">
        <f>IF('Clockify Raw'!O209="","",'Clockify Raw'!O209/24)</f>
        <v/>
      </c>
      <c r="G209" t="str">
        <f>IF(A209="","",COUNTIFS($A$2:$A$1000,A209,$B$2:$B$1000,"&lt;"&amp;B209)+COUNTIFS($A$2:A209,A209,$B$2:B209,B209))</f>
        <v/>
      </c>
      <c r="H209" t="str">
        <f t="shared" si="3"/>
        <v/>
      </c>
    </row>
    <row r="210" spans="1:8">
      <c r="A210" s="25" t="str">
        <f>IF('Clockify Raw'!J210="","",'Clockify Raw'!J210)</f>
        <v/>
      </c>
      <c r="B210" s="23" t="str">
        <f>IF('Clockify Raw'!K210="","",VALUE('Clockify Raw'!K210))</f>
        <v/>
      </c>
      <c r="C210" s="23" t="str">
        <f>IF('Clockify Raw'!M210="","",VALUE('Clockify Raw'!M210))</f>
        <v/>
      </c>
      <c r="D210" t="str">
        <f>IF('Clockify Raw'!A210="","",IF(LOWER('Clockify Raw'!A210)="break","Break","Work"))</f>
        <v/>
      </c>
      <c r="E210" t="str">
        <f>IF('Clockify Raw'!A210="","",IF(LOWER('Clockify Raw'!A210)="break","Break",IF('Clockify Raw'!C210&lt;&gt;"",'Clockify Raw'!C210,IF('Clockify Raw'!D210&lt;&gt;"",'Clockify Raw'!D210,'Clockify Raw'!A210))))</f>
        <v/>
      </c>
      <c r="F210" s="24" t="str">
        <f>IF('Clockify Raw'!O210="","",'Clockify Raw'!O210/24)</f>
        <v/>
      </c>
      <c r="G210" t="str">
        <f>IF(A210="","",COUNTIFS($A$2:$A$1000,A210,$B$2:$B$1000,"&lt;"&amp;B210)+COUNTIFS($A$2:A210,A210,$B$2:B210,B210))</f>
        <v/>
      </c>
      <c r="H210" t="str">
        <f t="shared" si="3"/>
        <v/>
      </c>
    </row>
    <row r="211" spans="1:8">
      <c r="A211" s="25" t="str">
        <f>IF('Clockify Raw'!J211="","",'Clockify Raw'!J211)</f>
        <v/>
      </c>
      <c r="B211" s="23" t="str">
        <f>IF('Clockify Raw'!K211="","",VALUE('Clockify Raw'!K211))</f>
        <v/>
      </c>
      <c r="C211" s="23" t="str">
        <f>IF('Clockify Raw'!M211="","",VALUE('Clockify Raw'!M211))</f>
        <v/>
      </c>
      <c r="D211" t="str">
        <f>IF('Clockify Raw'!A211="","",IF(LOWER('Clockify Raw'!A211)="break","Break","Work"))</f>
        <v/>
      </c>
      <c r="E211" t="str">
        <f>IF('Clockify Raw'!A211="","",IF(LOWER('Clockify Raw'!A211)="break","Break",IF('Clockify Raw'!C211&lt;&gt;"",'Clockify Raw'!C211,IF('Clockify Raw'!D211&lt;&gt;"",'Clockify Raw'!D211,'Clockify Raw'!A211))))</f>
        <v/>
      </c>
      <c r="F211" s="24" t="str">
        <f>IF('Clockify Raw'!O211="","",'Clockify Raw'!O211/24)</f>
        <v/>
      </c>
      <c r="G211" t="str">
        <f>IF(A211="","",COUNTIFS($A$2:$A$1000,A211,$B$2:$B$1000,"&lt;"&amp;B211)+COUNTIFS($A$2:A211,A211,$B$2:B211,B211))</f>
        <v/>
      </c>
      <c r="H211" t="str">
        <f t="shared" si="3"/>
        <v/>
      </c>
    </row>
    <row r="212" spans="1:8">
      <c r="A212" s="25" t="str">
        <f>IF('Clockify Raw'!J212="","",'Clockify Raw'!J212)</f>
        <v/>
      </c>
      <c r="B212" s="23" t="str">
        <f>IF('Clockify Raw'!K212="","",VALUE('Clockify Raw'!K212))</f>
        <v/>
      </c>
      <c r="C212" s="23" t="str">
        <f>IF('Clockify Raw'!M212="","",VALUE('Clockify Raw'!M212))</f>
        <v/>
      </c>
      <c r="D212" t="str">
        <f>IF('Clockify Raw'!A212="","",IF(LOWER('Clockify Raw'!A212)="break","Break","Work"))</f>
        <v/>
      </c>
      <c r="E212" t="str">
        <f>IF('Clockify Raw'!A212="","",IF(LOWER('Clockify Raw'!A212)="break","Break",IF('Clockify Raw'!C212&lt;&gt;"",'Clockify Raw'!C212,IF('Clockify Raw'!D212&lt;&gt;"",'Clockify Raw'!D212,'Clockify Raw'!A212))))</f>
        <v/>
      </c>
      <c r="F212" s="24" t="str">
        <f>IF('Clockify Raw'!O212="","",'Clockify Raw'!O212/24)</f>
        <v/>
      </c>
      <c r="G212" t="str">
        <f>IF(A212="","",COUNTIFS($A$2:$A$1000,A212,$B$2:$B$1000,"&lt;"&amp;B212)+COUNTIFS($A$2:A212,A212,$B$2:B212,B212))</f>
        <v/>
      </c>
      <c r="H212" t="str">
        <f t="shared" si="3"/>
        <v/>
      </c>
    </row>
    <row r="213" spans="1:8">
      <c r="A213" s="25" t="str">
        <f>IF('Clockify Raw'!J213="","",'Clockify Raw'!J213)</f>
        <v/>
      </c>
      <c r="B213" s="23" t="str">
        <f>IF('Clockify Raw'!K213="","",VALUE('Clockify Raw'!K213))</f>
        <v/>
      </c>
      <c r="C213" s="23" t="str">
        <f>IF('Clockify Raw'!M213="","",VALUE('Clockify Raw'!M213))</f>
        <v/>
      </c>
      <c r="D213" t="str">
        <f>IF('Clockify Raw'!A213="","",IF(LOWER('Clockify Raw'!A213)="break","Break","Work"))</f>
        <v/>
      </c>
      <c r="E213" t="str">
        <f>IF('Clockify Raw'!A213="","",IF(LOWER('Clockify Raw'!A213)="break","Break",IF('Clockify Raw'!C213&lt;&gt;"",'Clockify Raw'!C213,IF('Clockify Raw'!D213&lt;&gt;"",'Clockify Raw'!D213,'Clockify Raw'!A213))))</f>
        <v/>
      </c>
      <c r="F213" s="24" t="str">
        <f>IF('Clockify Raw'!O213="","",'Clockify Raw'!O213/24)</f>
        <v/>
      </c>
      <c r="G213" t="str">
        <f>IF(A213="","",COUNTIFS($A$2:$A$1000,A213,$B$2:$B$1000,"&lt;"&amp;B213)+COUNTIFS($A$2:A213,A213,$B$2:B213,B213))</f>
        <v/>
      </c>
      <c r="H213" t="str">
        <f t="shared" si="3"/>
        <v/>
      </c>
    </row>
    <row r="214" spans="1:8">
      <c r="A214" s="25" t="str">
        <f>IF('Clockify Raw'!J214="","",'Clockify Raw'!J214)</f>
        <v/>
      </c>
      <c r="B214" s="23" t="str">
        <f>IF('Clockify Raw'!K214="","",VALUE('Clockify Raw'!K214))</f>
        <v/>
      </c>
      <c r="C214" s="23" t="str">
        <f>IF('Clockify Raw'!M214="","",VALUE('Clockify Raw'!M214))</f>
        <v/>
      </c>
      <c r="D214" t="str">
        <f>IF('Clockify Raw'!A214="","",IF(LOWER('Clockify Raw'!A214)="break","Break","Work"))</f>
        <v/>
      </c>
      <c r="E214" t="str">
        <f>IF('Clockify Raw'!A214="","",IF(LOWER('Clockify Raw'!A214)="break","Break",IF('Clockify Raw'!C214&lt;&gt;"",'Clockify Raw'!C214,IF('Clockify Raw'!D214&lt;&gt;"",'Clockify Raw'!D214,'Clockify Raw'!A214))))</f>
        <v/>
      </c>
      <c r="F214" s="24" t="str">
        <f>IF('Clockify Raw'!O214="","",'Clockify Raw'!O214/24)</f>
        <v/>
      </c>
      <c r="G214" t="str">
        <f>IF(A214="","",COUNTIFS($A$2:$A$1000,A214,$B$2:$B$1000,"&lt;"&amp;B214)+COUNTIFS($A$2:A214,A214,$B$2:B214,B214))</f>
        <v/>
      </c>
      <c r="H214" t="str">
        <f t="shared" si="3"/>
        <v/>
      </c>
    </row>
    <row r="215" spans="1:8">
      <c r="A215" s="25" t="str">
        <f>IF('Clockify Raw'!J215="","",'Clockify Raw'!J215)</f>
        <v/>
      </c>
      <c r="B215" s="23" t="str">
        <f>IF('Clockify Raw'!K215="","",VALUE('Clockify Raw'!K215))</f>
        <v/>
      </c>
      <c r="C215" s="23" t="str">
        <f>IF('Clockify Raw'!M215="","",VALUE('Clockify Raw'!M215))</f>
        <v/>
      </c>
      <c r="D215" t="str">
        <f>IF('Clockify Raw'!A215="","",IF(LOWER('Clockify Raw'!A215)="break","Break","Work"))</f>
        <v/>
      </c>
      <c r="E215" t="str">
        <f>IF('Clockify Raw'!A215="","",IF(LOWER('Clockify Raw'!A215)="break","Break",IF('Clockify Raw'!C215&lt;&gt;"",'Clockify Raw'!C215,IF('Clockify Raw'!D215&lt;&gt;"",'Clockify Raw'!D215,'Clockify Raw'!A215))))</f>
        <v/>
      </c>
      <c r="F215" s="24" t="str">
        <f>IF('Clockify Raw'!O215="","",'Clockify Raw'!O215/24)</f>
        <v/>
      </c>
      <c r="G215" t="str">
        <f>IF(A215="","",COUNTIFS($A$2:$A$1000,A215,$B$2:$B$1000,"&lt;"&amp;B215)+COUNTIFS($A$2:A215,A215,$B$2:B215,B215))</f>
        <v/>
      </c>
      <c r="H215" t="str">
        <f t="shared" si="3"/>
        <v/>
      </c>
    </row>
    <row r="216" spans="1:8">
      <c r="A216" s="25" t="str">
        <f>IF('Clockify Raw'!J216="","",'Clockify Raw'!J216)</f>
        <v/>
      </c>
      <c r="B216" s="23" t="str">
        <f>IF('Clockify Raw'!K216="","",VALUE('Clockify Raw'!K216))</f>
        <v/>
      </c>
      <c r="C216" s="23" t="str">
        <f>IF('Clockify Raw'!M216="","",VALUE('Clockify Raw'!M216))</f>
        <v/>
      </c>
      <c r="D216" t="str">
        <f>IF('Clockify Raw'!A216="","",IF(LOWER('Clockify Raw'!A216)="break","Break","Work"))</f>
        <v/>
      </c>
      <c r="E216" t="str">
        <f>IF('Clockify Raw'!A216="","",IF(LOWER('Clockify Raw'!A216)="break","Break",IF('Clockify Raw'!C216&lt;&gt;"",'Clockify Raw'!C216,IF('Clockify Raw'!D216&lt;&gt;"",'Clockify Raw'!D216,'Clockify Raw'!A216))))</f>
        <v/>
      </c>
      <c r="F216" s="24" t="str">
        <f>IF('Clockify Raw'!O216="","",'Clockify Raw'!O216/24)</f>
        <v/>
      </c>
      <c r="G216" t="str">
        <f>IF(A216="","",COUNTIFS($A$2:$A$1000,A216,$B$2:$B$1000,"&lt;"&amp;B216)+COUNTIFS($A$2:A216,A216,$B$2:B216,B216))</f>
        <v/>
      </c>
      <c r="H216" t="str">
        <f t="shared" si="3"/>
        <v/>
      </c>
    </row>
    <row r="217" spans="1:8">
      <c r="A217" s="25" t="str">
        <f>IF('Clockify Raw'!J217="","",'Clockify Raw'!J217)</f>
        <v/>
      </c>
      <c r="B217" s="23" t="str">
        <f>IF('Clockify Raw'!K217="","",VALUE('Clockify Raw'!K217))</f>
        <v/>
      </c>
      <c r="C217" s="23" t="str">
        <f>IF('Clockify Raw'!M217="","",VALUE('Clockify Raw'!M217))</f>
        <v/>
      </c>
      <c r="D217" t="str">
        <f>IF('Clockify Raw'!A217="","",IF(LOWER('Clockify Raw'!A217)="break","Break","Work"))</f>
        <v/>
      </c>
      <c r="E217" t="str">
        <f>IF('Clockify Raw'!A217="","",IF(LOWER('Clockify Raw'!A217)="break","Break",IF('Clockify Raw'!C217&lt;&gt;"",'Clockify Raw'!C217,IF('Clockify Raw'!D217&lt;&gt;"",'Clockify Raw'!D217,'Clockify Raw'!A217))))</f>
        <v/>
      </c>
      <c r="F217" s="24" t="str">
        <f>IF('Clockify Raw'!O217="","",'Clockify Raw'!O217/24)</f>
        <v/>
      </c>
      <c r="G217" t="str">
        <f>IF(A217="","",COUNTIFS($A$2:$A$1000,A217,$B$2:$B$1000,"&lt;"&amp;B217)+COUNTIFS($A$2:A217,A217,$B$2:B217,B217))</f>
        <v/>
      </c>
      <c r="H217" t="str">
        <f t="shared" si="3"/>
        <v/>
      </c>
    </row>
    <row r="218" spans="1:8">
      <c r="A218" s="25" t="str">
        <f>IF('Clockify Raw'!J218="","",'Clockify Raw'!J218)</f>
        <v/>
      </c>
      <c r="B218" s="23" t="str">
        <f>IF('Clockify Raw'!K218="","",VALUE('Clockify Raw'!K218))</f>
        <v/>
      </c>
      <c r="C218" s="23" t="str">
        <f>IF('Clockify Raw'!M218="","",VALUE('Clockify Raw'!M218))</f>
        <v/>
      </c>
      <c r="D218" t="str">
        <f>IF('Clockify Raw'!A218="","",IF(LOWER('Clockify Raw'!A218)="break","Break","Work"))</f>
        <v/>
      </c>
      <c r="E218" t="str">
        <f>IF('Clockify Raw'!A218="","",IF(LOWER('Clockify Raw'!A218)="break","Break",IF('Clockify Raw'!C218&lt;&gt;"",'Clockify Raw'!C218,IF('Clockify Raw'!D218&lt;&gt;"",'Clockify Raw'!D218,'Clockify Raw'!A218))))</f>
        <v/>
      </c>
      <c r="F218" s="24" t="str">
        <f>IF('Clockify Raw'!O218="","",'Clockify Raw'!O218/24)</f>
        <v/>
      </c>
      <c r="G218" t="str">
        <f>IF(A218="","",COUNTIFS($A$2:$A$1000,A218,$B$2:$B$1000,"&lt;"&amp;B218)+COUNTIFS($A$2:A218,A218,$B$2:B218,B218))</f>
        <v/>
      </c>
      <c r="H218" t="str">
        <f t="shared" si="3"/>
        <v/>
      </c>
    </row>
    <row r="219" spans="1:8">
      <c r="A219" s="25" t="str">
        <f>IF('Clockify Raw'!J219="","",'Clockify Raw'!J219)</f>
        <v/>
      </c>
      <c r="B219" s="23" t="str">
        <f>IF('Clockify Raw'!K219="","",VALUE('Clockify Raw'!K219))</f>
        <v/>
      </c>
      <c r="C219" s="23" t="str">
        <f>IF('Clockify Raw'!M219="","",VALUE('Clockify Raw'!M219))</f>
        <v/>
      </c>
      <c r="D219" t="str">
        <f>IF('Clockify Raw'!A219="","",IF(LOWER('Clockify Raw'!A219)="break","Break","Work"))</f>
        <v/>
      </c>
      <c r="E219" t="str">
        <f>IF('Clockify Raw'!A219="","",IF(LOWER('Clockify Raw'!A219)="break","Break",IF('Clockify Raw'!C219&lt;&gt;"",'Clockify Raw'!C219,IF('Clockify Raw'!D219&lt;&gt;"",'Clockify Raw'!D219,'Clockify Raw'!A219))))</f>
        <v/>
      </c>
      <c r="F219" s="24" t="str">
        <f>IF('Clockify Raw'!O219="","",'Clockify Raw'!O219/24)</f>
        <v/>
      </c>
      <c r="G219" t="str">
        <f>IF(A219="","",COUNTIFS($A$2:$A$1000,A219,$B$2:$B$1000,"&lt;"&amp;B219)+COUNTIFS($A$2:A219,A219,$B$2:B219,B219))</f>
        <v/>
      </c>
      <c r="H219" t="str">
        <f t="shared" si="3"/>
        <v/>
      </c>
    </row>
    <row r="220" spans="1:8">
      <c r="A220" s="25" t="str">
        <f>IF('Clockify Raw'!J220="","",'Clockify Raw'!J220)</f>
        <v/>
      </c>
      <c r="B220" s="23" t="str">
        <f>IF('Clockify Raw'!K220="","",VALUE('Clockify Raw'!K220))</f>
        <v/>
      </c>
      <c r="C220" s="23" t="str">
        <f>IF('Clockify Raw'!M220="","",VALUE('Clockify Raw'!M220))</f>
        <v/>
      </c>
      <c r="D220" t="str">
        <f>IF('Clockify Raw'!A220="","",IF(LOWER('Clockify Raw'!A220)="break","Break","Work"))</f>
        <v/>
      </c>
      <c r="E220" t="str">
        <f>IF('Clockify Raw'!A220="","",IF(LOWER('Clockify Raw'!A220)="break","Break",IF('Clockify Raw'!C220&lt;&gt;"",'Clockify Raw'!C220,IF('Clockify Raw'!D220&lt;&gt;"",'Clockify Raw'!D220,'Clockify Raw'!A220))))</f>
        <v/>
      </c>
      <c r="F220" s="24" t="str">
        <f>IF('Clockify Raw'!O220="","",'Clockify Raw'!O220/24)</f>
        <v/>
      </c>
      <c r="G220" t="str">
        <f>IF(A220="","",COUNTIFS($A$2:$A$1000,A220,$B$2:$B$1000,"&lt;"&amp;B220)+COUNTIFS($A$2:A220,A220,$B$2:B220,B220))</f>
        <v/>
      </c>
      <c r="H220" t="str">
        <f t="shared" si="3"/>
        <v/>
      </c>
    </row>
    <row r="221" spans="1:8">
      <c r="A221" s="25" t="str">
        <f>IF('Clockify Raw'!J221="","",'Clockify Raw'!J221)</f>
        <v/>
      </c>
      <c r="B221" s="23" t="str">
        <f>IF('Clockify Raw'!K221="","",VALUE('Clockify Raw'!K221))</f>
        <v/>
      </c>
      <c r="C221" s="23" t="str">
        <f>IF('Clockify Raw'!M221="","",VALUE('Clockify Raw'!M221))</f>
        <v/>
      </c>
      <c r="D221" t="str">
        <f>IF('Clockify Raw'!A221="","",IF(LOWER('Clockify Raw'!A221)="break","Break","Work"))</f>
        <v/>
      </c>
      <c r="E221" t="str">
        <f>IF('Clockify Raw'!A221="","",IF(LOWER('Clockify Raw'!A221)="break","Break",IF('Clockify Raw'!C221&lt;&gt;"",'Clockify Raw'!C221,IF('Clockify Raw'!D221&lt;&gt;"",'Clockify Raw'!D221,'Clockify Raw'!A221))))</f>
        <v/>
      </c>
      <c r="F221" s="24" t="str">
        <f>IF('Clockify Raw'!O221="","",'Clockify Raw'!O221/24)</f>
        <v/>
      </c>
      <c r="G221" t="str">
        <f>IF(A221="","",COUNTIFS($A$2:$A$1000,A221,$B$2:$B$1000,"&lt;"&amp;B221)+COUNTIFS($A$2:A221,A221,$B$2:B221,B221))</f>
        <v/>
      </c>
      <c r="H221" t="str">
        <f t="shared" si="3"/>
        <v/>
      </c>
    </row>
    <row r="222" spans="1:8">
      <c r="A222" s="25" t="str">
        <f>IF('Clockify Raw'!J222="","",'Clockify Raw'!J222)</f>
        <v/>
      </c>
      <c r="B222" s="23" t="str">
        <f>IF('Clockify Raw'!K222="","",VALUE('Clockify Raw'!K222))</f>
        <v/>
      </c>
      <c r="C222" s="23" t="str">
        <f>IF('Clockify Raw'!M222="","",VALUE('Clockify Raw'!M222))</f>
        <v/>
      </c>
      <c r="D222" t="str">
        <f>IF('Clockify Raw'!A222="","",IF(LOWER('Clockify Raw'!A222)="break","Break","Work"))</f>
        <v/>
      </c>
      <c r="E222" t="str">
        <f>IF('Clockify Raw'!A222="","",IF(LOWER('Clockify Raw'!A222)="break","Break",IF('Clockify Raw'!C222&lt;&gt;"",'Clockify Raw'!C222,IF('Clockify Raw'!D222&lt;&gt;"",'Clockify Raw'!D222,'Clockify Raw'!A222))))</f>
        <v/>
      </c>
      <c r="F222" s="24" t="str">
        <f>IF('Clockify Raw'!O222="","",'Clockify Raw'!O222/24)</f>
        <v/>
      </c>
      <c r="G222" t="str">
        <f>IF(A222="","",COUNTIFS($A$2:$A$1000,A222,$B$2:$B$1000,"&lt;"&amp;B222)+COUNTIFS($A$2:A222,A222,$B$2:B222,B222))</f>
        <v/>
      </c>
      <c r="H222" t="str">
        <f t="shared" si="3"/>
        <v/>
      </c>
    </row>
    <row r="223" spans="1:8">
      <c r="A223" s="25" t="str">
        <f>IF('Clockify Raw'!J223="","",'Clockify Raw'!J223)</f>
        <v/>
      </c>
      <c r="B223" s="23" t="str">
        <f>IF('Clockify Raw'!K223="","",VALUE('Clockify Raw'!K223))</f>
        <v/>
      </c>
      <c r="C223" s="23" t="str">
        <f>IF('Clockify Raw'!M223="","",VALUE('Clockify Raw'!M223))</f>
        <v/>
      </c>
      <c r="D223" t="str">
        <f>IF('Clockify Raw'!A223="","",IF(LOWER('Clockify Raw'!A223)="break","Break","Work"))</f>
        <v/>
      </c>
      <c r="E223" t="str">
        <f>IF('Clockify Raw'!A223="","",IF(LOWER('Clockify Raw'!A223)="break","Break",IF('Clockify Raw'!C223&lt;&gt;"",'Clockify Raw'!C223,IF('Clockify Raw'!D223&lt;&gt;"",'Clockify Raw'!D223,'Clockify Raw'!A223))))</f>
        <v/>
      </c>
      <c r="F223" s="24" t="str">
        <f>IF('Clockify Raw'!O223="","",'Clockify Raw'!O223/24)</f>
        <v/>
      </c>
      <c r="G223" t="str">
        <f>IF(A223="","",COUNTIFS($A$2:$A$1000,A223,$B$2:$B$1000,"&lt;"&amp;B223)+COUNTIFS($A$2:A223,A223,$B$2:B223,B223))</f>
        <v/>
      </c>
      <c r="H223" t="str">
        <f t="shared" si="3"/>
        <v/>
      </c>
    </row>
    <row r="224" spans="1:8">
      <c r="A224" s="25" t="str">
        <f>IF('Clockify Raw'!J224="","",'Clockify Raw'!J224)</f>
        <v/>
      </c>
      <c r="B224" s="23" t="str">
        <f>IF('Clockify Raw'!K224="","",VALUE('Clockify Raw'!K224))</f>
        <v/>
      </c>
      <c r="C224" s="23" t="str">
        <f>IF('Clockify Raw'!M224="","",VALUE('Clockify Raw'!M224))</f>
        <v/>
      </c>
      <c r="D224" t="str">
        <f>IF('Clockify Raw'!A224="","",IF(LOWER('Clockify Raw'!A224)="break","Break","Work"))</f>
        <v/>
      </c>
      <c r="E224" t="str">
        <f>IF('Clockify Raw'!A224="","",IF(LOWER('Clockify Raw'!A224)="break","Break",IF('Clockify Raw'!C224&lt;&gt;"",'Clockify Raw'!C224,IF('Clockify Raw'!D224&lt;&gt;"",'Clockify Raw'!D224,'Clockify Raw'!A224))))</f>
        <v/>
      </c>
      <c r="F224" s="24" t="str">
        <f>IF('Clockify Raw'!O224="","",'Clockify Raw'!O224/24)</f>
        <v/>
      </c>
      <c r="G224" t="str">
        <f>IF(A224="","",COUNTIFS($A$2:$A$1000,A224,$B$2:$B$1000,"&lt;"&amp;B224)+COUNTIFS($A$2:A224,A224,$B$2:B224,B224))</f>
        <v/>
      </c>
      <c r="H224" t="str">
        <f t="shared" si="3"/>
        <v/>
      </c>
    </row>
    <row r="225" spans="1:8">
      <c r="A225" s="25" t="str">
        <f>IF('Clockify Raw'!J225="","",'Clockify Raw'!J225)</f>
        <v/>
      </c>
      <c r="B225" s="23" t="str">
        <f>IF('Clockify Raw'!K225="","",VALUE('Clockify Raw'!K225))</f>
        <v/>
      </c>
      <c r="C225" s="23" t="str">
        <f>IF('Clockify Raw'!M225="","",VALUE('Clockify Raw'!M225))</f>
        <v/>
      </c>
      <c r="D225" t="str">
        <f>IF('Clockify Raw'!A225="","",IF(LOWER('Clockify Raw'!A225)="break","Break","Work"))</f>
        <v/>
      </c>
      <c r="E225" t="str">
        <f>IF('Clockify Raw'!A225="","",IF(LOWER('Clockify Raw'!A225)="break","Break",IF('Clockify Raw'!C225&lt;&gt;"",'Clockify Raw'!C225,IF('Clockify Raw'!D225&lt;&gt;"",'Clockify Raw'!D225,'Clockify Raw'!A225))))</f>
        <v/>
      </c>
      <c r="F225" s="24" t="str">
        <f>IF('Clockify Raw'!O225="","",'Clockify Raw'!O225/24)</f>
        <v/>
      </c>
      <c r="G225" t="str">
        <f>IF(A225="","",COUNTIFS($A$2:$A$1000,A225,$B$2:$B$1000,"&lt;"&amp;B225)+COUNTIFS($A$2:A225,A225,$B$2:B225,B225))</f>
        <v/>
      </c>
      <c r="H225" t="str">
        <f t="shared" si="3"/>
        <v/>
      </c>
    </row>
    <row r="226" spans="1:8">
      <c r="A226" s="25" t="str">
        <f>IF('Clockify Raw'!J226="","",'Clockify Raw'!J226)</f>
        <v/>
      </c>
      <c r="B226" s="23" t="str">
        <f>IF('Clockify Raw'!K226="","",VALUE('Clockify Raw'!K226))</f>
        <v/>
      </c>
      <c r="C226" s="23" t="str">
        <f>IF('Clockify Raw'!M226="","",VALUE('Clockify Raw'!M226))</f>
        <v/>
      </c>
      <c r="D226" t="str">
        <f>IF('Clockify Raw'!A226="","",IF(LOWER('Clockify Raw'!A226)="break","Break","Work"))</f>
        <v/>
      </c>
      <c r="E226" t="str">
        <f>IF('Clockify Raw'!A226="","",IF(LOWER('Clockify Raw'!A226)="break","Break",IF('Clockify Raw'!C226&lt;&gt;"",'Clockify Raw'!C226,IF('Clockify Raw'!D226&lt;&gt;"",'Clockify Raw'!D226,'Clockify Raw'!A226))))</f>
        <v/>
      </c>
      <c r="F226" s="24" t="str">
        <f>IF('Clockify Raw'!O226="","",'Clockify Raw'!O226/24)</f>
        <v/>
      </c>
      <c r="G226" t="str">
        <f>IF(A226="","",COUNTIFS($A$2:$A$1000,A226,$B$2:$B$1000,"&lt;"&amp;B226)+COUNTIFS($A$2:A226,A226,$B$2:B226,B226))</f>
        <v/>
      </c>
      <c r="H226" t="str">
        <f t="shared" si="3"/>
        <v/>
      </c>
    </row>
    <row r="227" spans="1:8">
      <c r="A227" s="25" t="str">
        <f>IF('Clockify Raw'!J227="","",'Clockify Raw'!J227)</f>
        <v/>
      </c>
      <c r="B227" s="23" t="str">
        <f>IF('Clockify Raw'!K227="","",VALUE('Clockify Raw'!K227))</f>
        <v/>
      </c>
      <c r="C227" s="23" t="str">
        <f>IF('Clockify Raw'!M227="","",VALUE('Clockify Raw'!M227))</f>
        <v/>
      </c>
      <c r="D227" t="str">
        <f>IF('Clockify Raw'!A227="","",IF(LOWER('Clockify Raw'!A227)="break","Break","Work"))</f>
        <v/>
      </c>
      <c r="E227" t="str">
        <f>IF('Clockify Raw'!A227="","",IF(LOWER('Clockify Raw'!A227)="break","Break",IF('Clockify Raw'!C227&lt;&gt;"",'Clockify Raw'!C227,IF('Clockify Raw'!D227&lt;&gt;"",'Clockify Raw'!D227,'Clockify Raw'!A227))))</f>
        <v/>
      </c>
      <c r="F227" s="24" t="str">
        <f>IF('Clockify Raw'!O227="","",'Clockify Raw'!O227/24)</f>
        <v/>
      </c>
      <c r="G227" t="str">
        <f>IF(A227="","",COUNTIFS($A$2:$A$1000,A227,$B$2:$B$1000,"&lt;"&amp;B227)+COUNTIFS($A$2:A227,A227,$B$2:B227,B227))</f>
        <v/>
      </c>
      <c r="H227" t="str">
        <f t="shared" si="3"/>
        <v/>
      </c>
    </row>
    <row r="228" spans="1:8">
      <c r="A228" s="25" t="str">
        <f>IF('Clockify Raw'!J228="","",'Clockify Raw'!J228)</f>
        <v/>
      </c>
      <c r="B228" s="23" t="str">
        <f>IF('Clockify Raw'!K228="","",VALUE('Clockify Raw'!K228))</f>
        <v/>
      </c>
      <c r="C228" s="23" t="str">
        <f>IF('Clockify Raw'!M228="","",VALUE('Clockify Raw'!M228))</f>
        <v/>
      </c>
      <c r="D228" t="str">
        <f>IF('Clockify Raw'!A228="","",IF(LOWER('Clockify Raw'!A228)="break","Break","Work"))</f>
        <v/>
      </c>
      <c r="E228" t="str">
        <f>IF('Clockify Raw'!A228="","",IF(LOWER('Clockify Raw'!A228)="break","Break",IF('Clockify Raw'!C228&lt;&gt;"",'Clockify Raw'!C228,IF('Clockify Raw'!D228&lt;&gt;"",'Clockify Raw'!D228,'Clockify Raw'!A228))))</f>
        <v/>
      </c>
      <c r="F228" s="24" t="str">
        <f>IF('Clockify Raw'!O228="","",'Clockify Raw'!O228/24)</f>
        <v/>
      </c>
      <c r="G228" t="str">
        <f>IF(A228="","",COUNTIFS($A$2:$A$1000,A228,$B$2:$B$1000,"&lt;"&amp;B228)+COUNTIFS($A$2:A228,A228,$B$2:B228,B228))</f>
        <v/>
      </c>
      <c r="H228" t="str">
        <f t="shared" si="3"/>
        <v/>
      </c>
    </row>
    <row r="229" spans="1:8">
      <c r="A229" s="25" t="str">
        <f>IF('Clockify Raw'!J229="","",'Clockify Raw'!J229)</f>
        <v/>
      </c>
      <c r="B229" s="23" t="str">
        <f>IF('Clockify Raw'!K229="","",VALUE('Clockify Raw'!K229))</f>
        <v/>
      </c>
      <c r="C229" s="23" t="str">
        <f>IF('Clockify Raw'!M229="","",VALUE('Clockify Raw'!M229))</f>
        <v/>
      </c>
      <c r="D229" t="str">
        <f>IF('Clockify Raw'!A229="","",IF(LOWER('Clockify Raw'!A229)="break","Break","Work"))</f>
        <v/>
      </c>
      <c r="E229" t="str">
        <f>IF('Clockify Raw'!A229="","",IF(LOWER('Clockify Raw'!A229)="break","Break",IF('Clockify Raw'!C229&lt;&gt;"",'Clockify Raw'!C229,IF('Clockify Raw'!D229&lt;&gt;"",'Clockify Raw'!D229,'Clockify Raw'!A229))))</f>
        <v/>
      </c>
      <c r="F229" s="24" t="str">
        <f>IF('Clockify Raw'!O229="","",'Clockify Raw'!O229/24)</f>
        <v/>
      </c>
      <c r="G229" t="str">
        <f>IF(A229="","",COUNTIFS($A$2:$A$1000,A229,$B$2:$B$1000,"&lt;"&amp;B229)+COUNTIFS($A$2:A229,A229,$B$2:B229,B229))</f>
        <v/>
      </c>
      <c r="H229" t="str">
        <f t="shared" si="3"/>
        <v/>
      </c>
    </row>
    <row r="230" spans="1:8">
      <c r="A230" s="25" t="str">
        <f>IF('Clockify Raw'!J230="","",'Clockify Raw'!J230)</f>
        <v/>
      </c>
      <c r="B230" s="23" t="str">
        <f>IF('Clockify Raw'!K230="","",VALUE('Clockify Raw'!K230))</f>
        <v/>
      </c>
      <c r="C230" s="23" t="str">
        <f>IF('Clockify Raw'!M230="","",VALUE('Clockify Raw'!M230))</f>
        <v/>
      </c>
      <c r="D230" t="str">
        <f>IF('Clockify Raw'!A230="","",IF(LOWER('Clockify Raw'!A230)="break","Break","Work"))</f>
        <v/>
      </c>
      <c r="E230" t="str">
        <f>IF('Clockify Raw'!A230="","",IF(LOWER('Clockify Raw'!A230)="break","Break",IF('Clockify Raw'!C230&lt;&gt;"",'Clockify Raw'!C230,IF('Clockify Raw'!D230&lt;&gt;"",'Clockify Raw'!D230,'Clockify Raw'!A230))))</f>
        <v/>
      </c>
      <c r="F230" s="24" t="str">
        <f>IF('Clockify Raw'!O230="","",'Clockify Raw'!O230/24)</f>
        <v/>
      </c>
      <c r="G230" t="str">
        <f>IF(A230="","",COUNTIFS($A$2:$A$1000,A230,$B$2:$B$1000,"&lt;"&amp;B230)+COUNTIFS($A$2:A230,A230,$B$2:B230,B230))</f>
        <v/>
      </c>
      <c r="H230" t="str">
        <f t="shared" si="3"/>
        <v/>
      </c>
    </row>
    <row r="231" spans="1:8">
      <c r="A231" s="25" t="str">
        <f>IF('Clockify Raw'!J231="","",'Clockify Raw'!J231)</f>
        <v/>
      </c>
      <c r="B231" s="23" t="str">
        <f>IF('Clockify Raw'!K231="","",VALUE('Clockify Raw'!K231))</f>
        <v/>
      </c>
      <c r="C231" s="23" t="str">
        <f>IF('Clockify Raw'!M231="","",VALUE('Clockify Raw'!M231))</f>
        <v/>
      </c>
      <c r="D231" t="str">
        <f>IF('Clockify Raw'!A231="","",IF(LOWER('Clockify Raw'!A231)="break","Break","Work"))</f>
        <v/>
      </c>
      <c r="E231" t="str">
        <f>IF('Clockify Raw'!A231="","",IF(LOWER('Clockify Raw'!A231)="break","Break",IF('Clockify Raw'!C231&lt;&gt;"",'Clockify Raw'!C231,IF('Clockify Raw'!D231&lt;&gt;"",'Clockify Raw'!D231,'Clockify Raw'!A231))))</f>
        <v/>
      </c>
      <c r="F231" s="24" t="str">
        <f>IF('Clockify Raw'!O231="","",'Clockify Raw'!O231/24)</f>
        <v/>
      </c>
      <c r="G231" t="str">
        <f>IF(A231="","",COUNTIFS($A$2:$A$1000,A231,$B$2:$B$1000,"&lt;"&amp;B231)+COUNTIFS($A$2:A231,A231,$B$2:B231,B231))</f>
        <v/>
      </c>
      <c r="H231" t="str">
        <f t="shared" si="3"/>
        <v/>
      </c>
    </row>
    <row r="232" spans="1:8">
      <c r="A232" s="25" t="str">
        <f>IF('Clockify Raw'!J232="","",'Clockify Raw'!J232)</f>
        <v/>
      </c>
      <c r="B232" s="23" t="str">
        <f>IF('Clockify Raw'!K232="","",VALUE('Clockify Raw'!K232))</f>
        <v/>
      </c>
      <c r="C232" s="23" t="str">
        <f>IF('Clockify Raw'!M232="","",VALUE('Clockify Raw'!M232))</f>
        <v/>
      </c>
      <c r="D232" t="str">
        <f>IF('Clockify Raw'!A232="","",IF(LOWER('Clockify Raw'!A232)="break","Break","Work"))</f>
        <v/>
      </c>
      <c r="E232" t="str">
        <f>IF('Clockify Raw'!A232="","",IF(LOWER('Clockify Raw'!A232)="break","Break",IF('Clockify Raw'!C232&lt;&gt;"",'Clockify Raw'!C232,IF('Clockify Raw'!D232&lt;&gt;"",'Clockify Raw'!D232,'Clockify Raw'!A232))))</f>
        <v/>
      </c>
      <c r="F232" s="24" t="str">
        <f>IF('Clockify Raw'!O232="","",'Clockify Raw'!O232/24)</f>
        <v/>
      </c>
      <c r="G232" t="str">
        <f>IF(A232="","",COUNTIFS($A$2:$A$1000,A232,$B$2:$B$1000,"&lt;"&amp;B232)+COUNTIFS($A$2:A232,A232,$B$2:B232,B232))</f>
        <v/>
      </c>
      <c r="H232" t="str">
        <f t="shared" si="3"/>
        <v/>
      </c>
    </row>
    <row r="233" spans="1:8">
      <c r="A233" s="25" t="str">
        <f>IF('Clockify Raw'!J233="","",'Clockify Raw'!J233)</f>
        <v/>
      </c>
      <c r="B233" s="23" t="str">
        <f>IF('Clockify Raw'!K233="","",VALUE('Clockify Raw'!K233))</f>
        <v/>
      </c>
      <c r="C233" s="23" t="str">
        <f>IF('Clockify Raw'!M233="","",VALUE('Clockify Raw'!M233))</f>
        <v/>
      </c>
      <c r="D233" t="str">
        <f>IF('Clockify Raw'!A233="","",IF(LOWER('Clockify Raw'!A233)="break","Break","Work"))</f>
        <v/>
      </c>
      <c r="E233" t="str">
        <f>IF('Clockify Raw'!A233="","",IF(LOWER('Clockify Raw'!A233)="break","Break",IF('Clockify Raw'!C233&lt;&gt;"",'Clockify Raw'!C233,IF('Clockify Raw'!D233&lt;&gt;"",'Clockify Raw'!D233,'Clockify Raw'!A233))))</f>
        <v/>
      </c>
      <c r="F233" s="24" t="str">
        <f>IF('Clockify Raw'!O233="","",'Clockify Raw'!O233/24)</f>
        <v/>
      </c>
      <c r="G233" t="str">
        <f>IF(A233="","",COUNTIFS($A$2:$A$1000,A233,$B$2:$B$1000,"&lt;"&amp;B233)+COUNTIFS($A$2:A233,A233,$B$2:B233,B233))</f>
        <v/>
      </c>
      <c r="H233" t="str">
        <f t="shared" si="3"/>
        <v/>
      </c>
    </row>
    <row r="234" spans="1:8">
      <c r="A234" s="25" t="str">
        <f>IF('Clockify Raw'!J234="","",'Clockify Raw'!J234)</f>
        <v/>
      </c>
      <c r="B234" s="23" t="str">
        <f>IF('Clockify Raw'!K234="","",VALUE('Clockify Raw'!K234))</f>
        <v/>
      </c>
      <c r="C234" s="23" t="str">
        <f>IF('Clockify Raw'!M234="","",VALUE('Clockify Raw'!M234))</f>
        <v/>
      </c>
      <c r="D234" t="str">
        <f>IF('Clockify Raw'!A234="","",IF(LOWER('Clockify Raw'!A234)="break","Break","Work"))</f>
        <v/>
      </c>
      <c r="E234" t="str">
        <f>IF('Clockify Raw'!A234="","",IF(LOWER('Clockify Raw'!A234)="break","Break",IF('Clockify Raw'!C234&lt;&gt;"",'Clockify Raw'!C234,IF('Clockify Raw'!D234&lt;&gt;"",'Clockify Raw'!D234,'Clockify Raw'!A234))))</f>
        <v/>
      </c>
      <c r="F234" s="24" t="str">
        <f>IF('Clockify Raw'!O234="","",'Clockify Raw'!O234/24)</f>
        <v/>
      </c>
      <c r="G234" t="str">
        <f>IF(A234="","",COUNTIFS($A$2:$A$1000,A234,$B$2:$B$1000,"&lt;"&amp;B234)+COUNTIFS($A$2:A234,A234,$B$2:B234,B234))</f>
        <v/>
      </c>
      <c r="H234" t="str">
        <f t="shared" si="3"/>
        <v/>
      </c>
    </row>
    <row r="235" spans="1:8">
      <c r="A235" s="25" t="str">
        <f>IF('Clockify Raw'!J235="","",'Clockify Raw'!J235)</f>
        <v/>
      </c>
      <c r="B235" s="23" t="str">
        <f>IF('Clockify Raw'!K235="","",VALUE('Clockify Raw'!K235))</f>
        <v/>
      </c>
      <c r="C235" s="23" t="str">
        <f>IF('Clockify Raw'!M235="","",VALUE('Clockify Raw'!M235))</f>
        <v/>
      </c>
      <c r="D235" t="str">
        <f>IF('Clockify Raw'!A235="","",IF(LOWER('Clockify Raw'!A235)="break","Break","Work"))</f>
        <v/>
      </c>
      <c r="E235" t="str">
        <f>IF('Clockify Raw'!A235="","",IF(LOWER('Clockify Raw'!A235)="break","Break",IF('Clockify Raw'!C235&lt;&gt;"",'Clockify Raw'!C235,IF('Clockify Raw'!D235&lt;&gt;"",'Clockify Raw'!D235,'Clockify Raw'!A235))))</f>
        <v/>
      </c>
      <c r="F235" s="24" t="str">
        <f>IF('Clockify Raw'!O235="","",'Clockify Raw'!O235/24)</f>
        <v/>
      </c>
      <c r="G235" t="str">
        <f>IF(A235="","",COUNTIFS($A$2:$A$1000,A235,$B$2:$B$1000,"&lt;"&amp;B235)+COUNTIFS($A$2:A235,A235,$B$2:B235,B235))</f>
        <v/>
      </c>
      <c r="H235" t="str">
        <f t="shared" si="3"/>
        <v/>
      </c>
    </row>
    <row r="236" spans="1:8">
      <c r="A236" s="25" t="str">
        <f>IF('Clockify Raw'!J236="","",'Clockify Raw'!J236)</f>
        <v/>
      </c>
      <c r="B236" s="23" t="str">
        <f>IF('Clockify Raw'!K236="","",VALUE('Clockify Raw'!K236))</f>
        <v/>
      </c>
      <c r="C236" s="23" t="str">
        <f>IF('Clockify Raw'!M236="","",VALUE('Clockify Raw'!M236))</f>
        <v/>
      </c>
      <c r="D236" t="str">
        <f>IF('Clockify Raw'!A236="","",IF(LOWER('Clockify Raw'!A236)="break","Break","Work"))</f>
        <v/>
      </c>
      <c r="E236" t="str">
        <f>IF('Clockify Raw'!A236="","",IF(LOWER('Clockify Raw'!A236)="break","Break",IF('Clockify Raw'!C236&lt;&gt;"",'Clockify Raw'!C236,IF('Clockify Raw'!D236&lt;&gt;"",'Clockify Raw'!D236,'Clockify Raw'!A236))))</f>
        <v/>
      </c>
      <c r="F236" s="24" t="str">
        <f>IF('Clockify Raw'!O236="","",'Clockify Raw'!O236/24)</f>
        <v/>
      </c>
      <c r="G236" t="str">
        <f>IF(A236="","",COUNTIFS($A$2:$A$1000,A236,$B$2:$B$1000,"&lt;"&amp;B236)+COUNTIFS($A$2:A236,A236,$B$2:B236,B236))</f>
        <v/>
      </c>
      <c r="H236" t="str">
        <f t="shared" si="3"/>
        <v/>
      </c>
    </row>
    <row r="237" spans="1:8">
      <c r="A237" s="25" t="str">
        <f>IF('Clockify Raw'!J237="","",'Clockify Raw'!J237)</f>
        <v/>
      </c>
      <c r="B237" s="23" t="str">
        <f>IF('Clockify Raw'!K237="","",VALUE('Clockify Raw'!K237))</f>
        <v/>
      </c>
      <c r="C237" s="23" t="str">
        <f>IF('Clockify Raw'!M237="","",VALUE('Clockify Raw'!M237))</f>
        <v/>
      </c>
      <c r="D237" t="str">
        <f>IF('Clockify Raw'!A237="","",IF(LOWER('Clockify Raw'!A237)="break","Break","Work"))</f>
        <v/>
      </c>
      <c r="E237" t="str">
        <f>IF('Clockify Raw'!A237="","",IF(LOWER('Clockify Raw'!A237)="break","Break",IF('Clockify Raw'!C237&lt;&gt;"",'Clockify Raw'!C237,IF('Clockify Raw'!D237&lt;&gt;"",'Clockify Raw'!D237,'Clockify Raw'!A237))))</f>
        <v/>
      </c>
      <c r="F237" s="24" t="str">
        <f>IF('Clockify Raw'!O237="","",'Clockify Raw'!O237/24)</f>
        <v/>
      </c>
      <c r="G237" t="str">
        <f>IF(A237="","",COUNTIFS($A$2:$A$1000,A237,$B$2:$B$1000,"&lt;"&amp;B237)+COUNTIFS($A$2:A237,A237,$B$2:B237,B237))</f>
        <v/>
      </c>
      <c r="H237" t="str">
        <f t="shared" si="3"/>
        <v/>
      </c>
    </row>
    <row r="238" spans="1:8">
      <c r="A238" s="25" t="str">
        <f>IF('Clockify Raw'!J238="","",'Clockify Raw'!J238)</f>
        <v/>
      </c>
      <c r="B238" s="23" t="str">
        <f>IF('Clockify Raw'!K238="","",VALUE('Clockify Raw'!K238))</f>
        <v/>
      </c>
      <c r="C238" s="23" t="str">
        <f>IF('Clockify Raw'!M238="","",VALUE('Clockify Raw'!M238))</f>
        <v/>
      </c>
      <c r="D238" t="str">
        <f>IF('Clockify Raw'!A238="","",IF(LOWER('Clockify Raw'!A238)="break","Break","Work"))</f>
        <v/>
      </c>
      <c r="E238" t="str">
        <f>IF('Clockify Raw'!A238="","",IF(LOWER('Clockify Raw'!A238)="break","Break",IF('Clockify Raw'!C238&lt;&gt;"",'Clockify Raw'!C238,IF('Clockify Raw'!D238&lt;&gt;"",'Clockify Raw'!D238,'Clockify Raw'!A238))))</f>
        <v/>
      </c>
      <c r="F238" s="24" t="str">
        <f>IF('Clockify Raw'!O238="","",'Clockify Raw'!O238/24)</f>
        <v/>
      </c>
      <c r="G238" t="str">
        <f>IF(A238="","",COUNTIFS($A$2:$A$1000,A238,$B$2:$B$1000,"&lt;"&amp;B238)+COUNTIFS($A$2:A238,A238,$B$2:B238,B238))</f>
        <v/>
      </c>
      <c r="H238" t="str">
        <f t="shared" si="3"/>
        <v/>
      </c>
    </row>
    <row r="239" spans="1:8">
      <c r="A239" s="25" t="str">
        <f>IF('Clockify Raw'!J239="","",'Clockify Raw'!J239)</f>
        <v/>
      </c>
      <c r="B239" s="23" t="str">
        <f>IF('Clockify Raw'!K239="","",VALUE('Clockify Raw'!K239))</f>
        <v/>
      </c>
      <c r="C239" s="23" t="str">
        <f>IF('Clockify Raw'!M239="","",VALUE('Clockify Raw'!M239))</f>
        <v/>
      </c>
      <c r="D239" t="str">
        <f>IF('Clockify Raw'!A239="","",IF(LOWER('Clockify Raw'!A239)="break","Break","Work"))</f>
        <v/>
      </c>
      <c r="E239" t="str">
        <f>IF('Clockify Raw'!A239="","",IF(LOWER('Clockify Raw'!A239)="break","Break",IF('Clockify Raw'!C239&lt;&gt;"",'Clockify Raw'!C239,IF('Clockify Raw'!D239&lt;&gt;"",'Clockify Raw'!D239,'Clockify Raw'!A239))))</f>
        <v/>
      </c>
      <c r="F239" s="24" t="str">
        <f>IF('Clockify Raw'!O239="","",'Clockify Raw'!O239/24)</f>
        <v/>
      </c>
      <c r="G239" t="str">
        <f>IF(A239="","",COUNTIFS($A$2:$A$1000,A239,$B$2:$B$1000,"&lt;"&amp;B239)+COUNTIFS($A$2:A239,A239,$B$2:B239,B239))</f>
        <v/>
      </c>
      <c r="H239" t="str">
        <f t="shared" si="3"/>
        <v/>
      </c>
    </row>
    <row r="240" spans="1:8">
      <c r="A240" s="25" t="str">
        <f>IF('Clockify Raw'!J240="","",'Clockify Raw'!J240)</f>
        <v/>
      </c>
      <c r="B240" s="23" t="str">
        <f>IF('Clockify Raw'!K240="","",VALUE('Clockify Raw'!K240))</f>
        <v/>
      </c>
      <c r="C240" s="23" t="str">
        <f>IF('Clockify Raw'!M240="","",VALUE('Clockify Raw'!M240))</f>
        <v/>
      </c>
      <c r="D240" t="str">
        <f>IF('Clockify Raw'!A240="","",IF(LOWER('Clockify Raw'!A240)="break","Break","Work"))</f>
        <v/>
      </c>
      <c r="E240" t="str">
        <f>IF('Clockify Raw'!A240="","",IF(LOWER('Clockify Raw'!A240)="break","Break",IF('Clockify Raw'!C240&lt;&gt;"",'Clockify Raw'!C240,IF('Clockify Raw'!D240&lt;&gt;"",'Clockify Raw'!D240,'Clockify Raw'!A240))))</f>
        <v/>
      </c>
      <c r="F240" s="24" t="str">
        <f>IF('Clockify Raw'!O240="","",'Clockify Raw'!O240/24)</f>
        <v/>
      </c>
      <c r="G240" t="str">
        <f>IF(A240="","",COUNTIFS($A$2:$A$1000,A240,$B$2:$B$1000,"&lt;"&amp;B240)+COUNTIFS($A$2:A240,A240,$B$2:B240,B240))</f>
        <v/>
      </c>
      <c r="H240" t="str">
        <f t="shared" si="3"/>
        <v/>
      </c>
    </row>
    <row r="241" spans="1:8">
      <c r="A241" s="25" t="str">
        <f>IF('Clockify Raw'!J241="","",'Clockify Raw'!J241)</f>
        <v/>
      </c>
      <c r="B241" s="23" t="str">
        <f>IF('Clockify Raw'!K241="","",VALUE('Clockify Raw'!K241))</f>
        <v/>
      </c>
      <c r="C241" s="23" t="str">
        <f>IF('Clockify Raw'!M241="","",VALUE('Clockify Raw'!M241))</f>
        <v/>
      </c>
      <c r="D241" t="str">
        <f>IF('Clockify Raw'!A241="","",IF(LOWER('Clockify Raw'!A241)="break","Break","Work"))</f>
        <v/>
      </c>
      <c r="E241" t="str">
        <f>IF('Clockify Raw'!A241="","",IF(LOWER('Clockify Raw'!A241)="break","Break",IF('Clockify Raw'!C241&lt;&gt;"",'Clockify Raw'!C241,IF('Clockify Raw'!D241&lt;&gt;"",'Clockify Raw'!D241,'Clockify Raw'!A241))))</f>
        <v/>
      </c>
      <c r="F241" s="24" t="str">
        <f>IF('Clockify Raw'!O241="","",'Clockify Raw'!O241/24)</f>
        <v/>
      </c>
      <c r="G241" t="str">
        <f>IF(A241="","",COUNTIFS($A$2:$A$1000,A241,$B$2:$B$1000,"&lt;"&amp;B241)+COUNTIFS($A$2:A241,A241,$B$2:B241,B241))</f>
        <v/>
      </c>
      <c r="H241" t="str">
        <f t="shared" si="3"/>
        <v/>
      </c>
    </row>
    <row r="242" spans="1:8">
      <c r="A242" s="25" t="str">
        <f>IF('Clockify Raw'!J242="","",'Clockify Raw'!J242)</f>
        <v/>
      </c>
      <c r="B242" s="23" t="str">
        <f>IF('Clockify Raw'!K242="","",VALUE('Clockify Raw'!K242))</f>
        <v/>
      </c>
      <c r="C242" s="23" t="str">
        <f>IF('Clockify Raw'!M242="","",VALUE('Clockify Raw'!M242))</f>
        <v/>
      </c>
      <c r="D242" t="str">
        <f>IF('Clockify Raw'!A242="","",IF(LOWER('Clockify Raw'!A242)="break","Break","Work"))</f>
        <v/>
      </c>
      <c r="E242" t="str">
        <f>IF('Clockify Raw'!A242="","",IF(LOWER('Clockify Raw'!A242)="break","Break",IF('Clockify Raw'!C242&lt;&gt;"",'Clockify Raw'!C242,IF('Clockify Raw'!D242&lt;&gt;"",'Clockify Raw'!D242,'Clockify Raw'!A242))))</f>
        <v/>
      </c>
      <c r="F242" s="24" t="str">
        <f>IF('Clockify Raw'!O242="","",'Clockify Raw'!O242/24)</f>
        <v/>
      </c>
      <c r="G242" t="str">
        <f>IF(A242="","",COUNTIFS($A$2:$A$1000,A242,$B$2:$B$1000,"&lt;"&amp;B242)+COUNTIFS($A$2:A242,A242,$B$2:B242,B242))</f>
        <v/>
      </c>
      <c r="H242" t="str">
        <f t="shared" si="3"/>
        <v/>
      </c>
    </row>
    <row r="243" spans="1:8">
      <c r="A243" s="25" t="str">
        <f>IF('Clockify Raw'!J243="","",'Clockify Raw'!J243)</f>
        <v/>
      </c>
      <c r="B243" s="23" t="str">
        <f>IF('Clockify Raw'!K243="","",VALUE('Clockify Raw'!K243))</f>
        <v/>
      </c>
      <c r="C243" s="23" t="str">
        <f>IF('Clockify Raw'!M243="","",VALUE('Clockify Raw'!M243))</f>
        <v/>
      </c>
      <c r="D243" t="str">
        <f>IF('Clockify Raw'!A243="","",IF(LOWER('Clockify Raw'!A243)="break","Break","Work"))</f>
        <v/>
      </c>
      <c r="E243" t="str">
        <f>IF('Clockify Raw'!A243="","",IF(LOWER('Clockify Raw'!A243)="break","Break",IF('Clockify Raw'!C243&lt;&gt;"",'Clockify Raw'!C243,IF('Clockify Raw'!D243&lt;&gt;"",'Clockify Raw'!D243,'Clockify Raw'!A243))))</f>
        <v/>
      </c>
      <c r="F243" s="24" t="str">
        <f>IF('Clockify Raw'!O243="","",'Clockify Raw'!O243/24)</f>
        <v/>
      </c>
      <c r="G243" t="str">
        <f>IF(A243="","",COUNTIFS($A$2:$A$1000,A243,$B$2:$B$1000,"&lt;"&amp;B243)+COUNTIFS($A$2:A243,A243,$B$2:B243,B243))</f>
        <v/>
      </c>
      <c r="H243" t="str">
        <f t="shared" si="3"/>
        <v/>
      </c>
    </row>
    <row r="244" spans="1:8">
      <c r="A244" s="25" t="str">
        <f>IF('Clockify Raw'!J244="","",'Clockify Raw'!J244)</f>
        <v/>
      </c>
      <c r="B244" s="23" t="str">
        <f>IF('Clockify Raw'!K244="","",VALUE('Clockify Raw'!K244))</f>
        <v/>
      </c>
      <c r="C244" s="23" t="str">
        <f>IF('Clockify Raw'!M244="","",VALUE('Clockify Raw'!M244))</f>
        <v/>
      </c>
      <c r="D244" t="str">
        <f>IF('Clockify Raw'!A244="","",IF(LOWER('Clockify Raw'!A244)="break","Break","Work"))</f>
        <v/>
      </c>
      <c r="E244" t="str">
        <f>IF('Clockify Raw'!A244="","",IF(LOWER('Clockify Raw'!A244)="break","Break",IF('Clockify Raw'!C244&lt;&gt;"",'Clockify Raw'!C244,IF('Clockify Raw'!D244&lt;&gt;"",'Clockify Raw'!D244,'Clockify Raw'!A244))))</f>
        <v/>
      </c>
      <c r="F244" s="24" t="str">
        <f>IF('Clockify Raw'!O244="","",'Clockify Raw'!O244/24)</f>
        <v/>
      </c>
      <c r="G244" t="str">
        <f>IF(A244="","",COUNTIFS($A$2:$A$1000,A244,$B$2:$B$1000,"&lt;"&amp;B244)+COUNTIFS($A$2:A244,A244,$B$2:B244,B244))</f>
        <v/>
      </c>
      <c r="H244" t="str">
        <f t="shared" si="3"/>
        <v/>
      </c>
    </row>
    <row r="245" spans="1:8">
      <c r="A245" s="25" t="str">
        <f>IF('Clockify Raw'!J245="","",'Clockify Raw'!J245)</f>
        <v/>
      </c>
      <c r="B245" s="23" t="str">
        <f>IF('Clockify Raw'!K245="","",VALUE('Clockify Raw'!K245))</f>
        <v/>
      </c>
      <c r="C245" s="23" t="str">
        <f>IF('Clockify Raw'!M245="","",VALUE('Clockify Raw'!M245))</f>
        <v/>
      </c>
      <c r="D245" t="str">
        <f>IF('Clockify Raw'!A245="","",IF(LOWER('Clockify Raw'!A245)="break","Break","Work"))</f>
        <v/>
      </c>
      <c r="E245" t="str">
        <f>IF('Clockify Raw'!A245="","",IF(LOWER('Clockify Raw'!A245)="break","Break",IF('Clockify Raw'!C245&lt;&gt;"",'Clockify Raw'!C245,IF('Clockify Raw'!D245&lt;&gt;"",'Clockify Raw'!D245,'Clockify Raw'!A245))))</f>
        <v/>
      </c>
      <c r="F245" s="24" t="str">
        <f>IF('Clockify Raw'!O245="","",'Clockify Raw'!O245/24)</f>
        <v/>
      </c>
      <c r="G245" t="str">
        <f>IF(A245="","",COUNTIFS($A$2:$A$1000,A245,$B$2:$B$1000,"&lt;"&amp;B245)+COUNTIFS($A$2:A245,A245,$B$2:B245,B245))</f>
        <v/>
      </c>
      <c r="H245" t="str">
        <f t="shared" si="3"/>
        <v/>
      </c>
    </row>
    <row r="246" spans="1:8">
      <c r="A246" s="25" t="str">
        <f>IF('Clockify Raw'!J246="","",'Clockify Raw'!J246)</f>
        <v/>
      </c>
      <c r="B246" s="23" t="str">
        <f>IF('Clockify Raw'!K246="","",VALUE('Clockify Raw'!K246))</f>
        <v/>
      </c>
      <c r="C246" s="23" t="str">
        <f>IF('Clockify Raw'!M246="","",VALUE('Clockify Raw'!M246))</f>
        <v/>
      </c>
      <c r="D246" t="str">
        <f>IF('Clockify Raw'!A246="","",IF(LOWER('Clockify Raw'!A246)="break","Break","Work"))</f>
        <v/>
      </c>
      <c r="E246" t="str">
        <f>IF('Clockify Raw'!A246="","",IF(LOWER('Clockify Raw'!A246)="break","Break",IF('Clockify Raw'!C246&lt;&gt;"",'Clockify Raw'!C246,IF('Clockify Raw'!D246&lt;&gt;"",'Clockify Raw'!D246,'Clockify Raw'!A246))))</f>
        <v/>
      </c>
      <c r="F246" s="24" t="str">
        <f>IF('Clockify Raw'!O246="","",'Clockify Raw'!O246/24)</f>
        <v/>
      </c>
      <c r="G246" t="str">
        <f>IF(A246="","",COUNTIFS($A$2:$A$1000,A246,$B$2:$B$1000,"&lt;"&amp;B246)+COUNTIFS($A$2:A246,A246,$B$2:B246,B246))</f>
        <v/>
      </c>
      <c r="H246" t="str">
        <f t="shared" si="3"/>
        <v/>
      </c>
    </row>
    <row r="247" spans="1:8">
      <c r="A247" s="25" t="str">
        <f>IF('Clockify Raw'!J247="","",'Clockify Raw'!J247)</f>
        <v/>
      </c>
      <c r="B247" s="23" t="str">
        <f>IF('Clockify Raw'!K247="","",VALUE('Clockify Raw'!K247))</f>
        <v/>
      </c>
      <c r="C247" s="23" t="str">
        <f>IF('Clockify Raw'!M247="","",VALUE('Clockify Raw'!M247))</f>
        <v/>
      </c>
      <c r="D247" t="str">
        <f>IF('Clockify Raw'!A247="","",IF(LOWER('Clockify Raw'!A247)="break","Break","Work"))</f>
        <v/>
      </c>
      <c r="E247" t="str">
        <f>IF('Clockify Raw'!A247="","",IF(LOWER('Clockify Raw'!A247)="break","Break",IF('Clockify Raw'!C247&lt;&gt;"",'Clockify Raw'!C247,IF('Clockify Raw'!D247&lt;&gt;"",'Clockify Raw'!D247,'Clockify Raw'!A247))))</f>
        <v/>
      </c>
      <c r="F247" s="24" t="str">
        <f>IF('Clockify Raw'!O247="","",'Clockify Raw'!O247/24)</f>
        <v/>
      </c>
      <c r="G247" t="str">
        <f>IF(A247="","",COUNTIFS($A$2:$A$1000,A247,$B$2:$B$1000,"&lt;"&amp;B247)+COUNTIFS($A$2:A247,A247,$B$2:B247,B247))</f>
        <v/>
      </c>
      <c r="H247" t="str">
        <f t="shared" si="3"/>
        <v/>
      </c>
    </row>
    <row r="248" spans="1:8">
      <c r="A248" s="25" t="str">
        <f>IF('Clockify Raw'!J248="","",'Clockify Raw'!J248)</f>
        <v/>
      </c>
      <c r="B248" s="23" t="str">
        <f>IF('Clockify Raw'!K248="","",VALUE('Clockify Raw'!K248))</f>
        <v/>
      </c>
      <c r="C248" s="23" t="str">
        <f>IF('Clockify Raw'!M248="","",VALUE('Clockify Raw'!M248))</f>
        <v/>
      </c>
      <c r="D248" t="str">
        <f>IF('Clockify Raw'!A248="","",IF(LOWER('Clockify Raw'!A248)="break","Break","Work"))</f>
        <v/>
      </c>
      <c r="E248" t="str">
        <f>IF('Clockify Raw'!A248="","",IF(LOWER('Clockify Raw'!A248)="break","Break",IF('Clockify Raw'!C248&lt;&gt;"",'Clockify Raw'!C248,IF('Clockify Raw'!D248&lt;&gt;"",'Clockify Raw'!D248,'Clockify Raw'!A248))))</f>
        <v/>
      </c>
      <c r="F248" s="24" t="str">
        <f>IF('Clockify Raw'!O248="","",'Clockify Raw'!O248/24)</f>
        <v/>
      </c>
      <c r="G248" t="str">
        <f>IF(A248="","",COUNTIFS($A$2:$A$1000,A248,$B$2:$B$1000,"&lt;"&amp;B248)+COUNTIFS($A$2:A248,A248,$B$2:B248,B248))</f>
        <v/>
      </c>
      <c r="H248" t="str">
        <f t="shared" si="3"/>
        <v/>
      </c>
    </row>
    <row r="249" spans="1:8">
      <c r="A249" s="25" t="str">
        <f>IF('Clockify Raw'!J249="","",'Clockify Raw'!J249)</f>
        <v/>
      </c>
      <c r="B249" s="23" t="str">
        <f>IF('Clockify Raw'!K249="","",VALUE('Clockify Raw'!K249))</f>
        <v/>
      </c>
      <c r="C249" s="23" t="str">
        <f>IF('Clockify Raw'!M249="","",VALUE('Clockify Raw'!M249))</f>
        <v/>
      </c>
      <c r="D249" t="str">
        <f>IF('Clockify Raw'!A249="","",IF(LOWER('Clockify Raw'!A249)="break","Break","Work"))</f>
        <v/>
      </c>
      <c r="E249" t="str">
        <f>IF('Clockify Raw'!A249="","",IF(LOWER('Clockify Raw'!A249)="break","Break",IF('Clockify Raw'!C249&lt;&gt;"",'Clockify Raw'!C249,IF('Clockify Raw'!D249&lt;&gt;"",'Clockify Raw'!D249,'Clockify Raw'!A249))))</f>
        <v/>
      </c>
      <c r="F249" s="24" t="str">
        <f>IF('Clockify Raw'!O249="","",'Clockify Raw'!O249/24)</f>
        <v/>
      </c>
      <c r="G249" t="str">
        <f>IF(A249="","",COUNTIFS($A$2:$A$1000,A249,$B$2:$B$1000,"&lt;"&amp;B249)+COUNTIFS($A$2:A249,A249,$B$2:B249,B249))</f>
        <v/>
      </c>
      <c r="H249" t="str">
        <f t="shared" si="3"/>
        <v/>
      </c>
    </row>
    <row r="250" spans="1:8">
      <c r="A250" s="25" t="str">
        <f>IF('Clockify Raw'!J250="","",'Clockify Raw'!J250)</f>
        <v/>
      </c>
      <c r="B250" s="23" t="str">
        <f>IF('Clockify Raw'!K250="","",VALUE('Clockify Raw'!K250))</f>
        <v/>
      </c>
      <c r="C250" s="23" t="str">
        <f>IF('Clockify Raw'!M250="","",VALUE('Clockify Raw'!M250))</f>
        <v/>
      </c>
      <c r="D250" t="str">
        <f>IF('Clockify Raw'!A250="","",IF(LOWER('Clockify Raw'!A250)="break","Break","Work"))</f>
        <v/>
      </c>
      <c r="E250" t="str">
        <f>IF('Clockify Raw'!A250="","",IF(LOWER('Clockify Raw'!A250)="break","Break",IF('Clockify Raw'!C250&lt;&gt;"",'Clockify Raw'!C250,IF('Clockify Raw'!D250&lt;&gt;"",'Clockify Raw'!D250,'Clockify Raw'!A250))))</f>
        <v/>
      </c>
      <c r="F250" s="24" t="str">
        <f>IF('Clockify Raw'!O250="","",'Clockify Raw'!O250/24)</f>
        <v/>
      </c>
      <c r="G250" t="str">
        <f>IF(A250="","",COUNTIFS($A$2:$A$1000,A250,$B$2:$B$1000,"&lt;"&amp;B250)+COUNTIFS($A$2:A250,A250,$B$2:B250,B250))</f>
        <v/>
      </c>
      <c r="H250" t="str">
        <f t="shared" si="3"/>
        <v/>
      </c>
    </row>
    <row r="251" spans="1:8">
      <c r="A251" s="25" t="str">
        <f>IF('Clockify Raw'!J251="","",'Clockify Raw'!J251)</f>
        <v/>
      </c>
      <c r="B251" s="23" t="str">
        <f>IF('Clockify Raw'!K251="","",VALUE('Clockify Raw'!K251))</f>
        <v/>
      </c>
      <c r="C251" s="23" t="str">
        <f>IF('Clockify Raw'!M251="","",VALUE('Clockify Raw'!M251))</f>
        <v/>
      </c>
      <c r="D251" t="str">
        <f>IF('Clockify Raw'!A251="","",IF(LOWER('Clockify Raw'!A251)="break","Break","Work"))</f>
        <v/>
      </c>
      <c r="E251" t="str">
        <f>IF('Clockify Raw'!A251="","",IF(LOWER('Clockify Raw'!A251)="break","Break",IF('Clockify Raw'!C251&lt;&gt;"",'Clockify Raw'!C251,IF('Clockify Raw'!D251&lt;&gt;"",'Clockify Raw'!D251,'Clockify Raw'!A251))))</f>
        <v/>
      </c>
      <c r="F251" s="24" t="str">
        <f>IF('Clockify Raw'!O251="","",'Clockify Raw'!O251/24)</f>
        <v/>
      </c>
      <c r="G251" t="str">
        <f>IF(A251="","",COUNTIFS($A$2:$A$1000,A251,$B$2:$B$1000,"&lt;"&amp;B251)+COUNTIFS($A$2:A251,A251,$B$2:B251,B251))</f>
        <v/>
      </c>
      <c r="H251" t="str">
        <f t="shared" si="3"/>
        <v/>
      </c>
    </row>
    <row r="252" spans="1:8">
      <c r="A252" s="25" t="str">
        <f>IF('Clockify Raw'!J252="","",'Clockify Raw'!J252)</f>
        <v/>
      </c>
      <c r="B252" s="23" t="str">
        <f>IF('Clockify Raw'!K252="","",VALUE('Clockify Raw'!K252))</f>
        <v/>
      </c>
      <c r="C252" s="23" t="str">
        <f>IF('Clockify Raw'!M252="","",VALUE('Clockify Raw'!M252))</f>
        <v/>
      </c>
      <c r="D252" t="str">
        <f>IF('Clockify Raw'!A252="","",IF(LOWER('Clockify Raw'!A252)="break","Break","Work"))</f>
        <v/>
      </c>
      <c r="E252" t="str">
        <f>IF('Clockify Raw'!A252="","",IF(LOWER('Clockify Raw'!A252)="break","Break",IF('Clockify Raw'!C252&lt;&gt;"",'Clockify Raw'!C252,IF('Clockify Raw'!D252&lt;&gt;"",'Clockify Raw'!D252,'Clockify Raw'!A252))))</f>
        <v/>
      </c>
      <c r="F252" s="24" t="str">
        <f>IF('Clockify Raw'!O252="","",'Clockify Raw'!O252/24)</f>
        <v/>
      </c>
      <c r="G252" t="str">
        <f>IF(A252="","",COUNTIFS($A$2:$A$1000,A252,$B$2:$B$1000,"&lt;"&amp;B252)+COUNTIFS($A$2:A252,A252,$B$2:B252,B252))</f>
        <v/>
      </c>
      <c r="H252" t="str">
        <f t="shared" si="3"/>
        <v/>
      </c>
    </row>
    <row r="253" spans="1:8">
      <c r="A253" s="25" t="str">
        <f>IF('Clockify Raw'!J253="","",'Clockify Raw'!J253)</f>
        <v/>
      </c>
      <c r="B253" s="23" t="str">
        <f>IF('Clockify Raw'!K253="","",VALUE('Clockify Raw'!K253))</f>
        <v/>
      </c>
      <c r="C253" s="23" t="str">
        <f>IF('Clockify Raw'!M253="","",VALUE('Clockify Raw'!M253))</f>
        <v/>
      </c>
      <c r="D253" t="str">
        <f>IF('Clockify Raw'!A253="","",IF(LOWER('Clockify Raw'!A253)="break","Break","Work"))</f>
        <v/>
      </c>
      <c r="E253" t="str">
        <f>IF('Clockify Raw'!A253="","",IF(LOWER('Clockify Raw'!A253)="break","Break",IF('Clockify Raw'!C253&lt;&gt;"",'Clockify Raw'!C253,IF('Clockify Raw'!D253&lt;&gt;"",'Clockify Raw'!D253,'Clockify Raw'!A253))))</f>
        <v/>
      </c>
      <c r="F253" s="24" t="str">
        <f>IF('Clockify Raw'!O253="","",'Clockify Raw'!O253/24)</f>
        <v/>
      </c>
      <c r="G253" t="str">
        <f>IF(A253="","",COUNTIFS($A$2:$A$1000,A253,$B$2:$B$1000,"&lt;"&amp;B253)+COUNTIFS($A$2:A253,A253,$B$2:B253,B253))</f>
        <v/>
      </c>
      <c r="H253" t="str">
        <f t="shared" si="3"/>
        <v/>
      </c>
    </row>
    <row r="254" spans="1:8">
      <c r="A254" s="25" t="str">
        <f>IF('Clockify Raw'!J254="","",'Clockify Raw'!J254)</f>
        <v/>
      </c>
      <c r="B254" s="23" t="str">
        <f>IF('Clockify Raw'!K254="","",VALUE('Clockify Raw'!K254))</f>
        <v/>
      </c>
      <c r="C254" s="23" t="str">
        <f>IF('Clockify Raw'!M254="","",VALUE('Clockify Raw'!M254))</f>
        <v/>
      </c>
      <c r="D254" t="str">
        <f>IF('Clockify Raw'!A254="","",IF(LOWER('Clockify Raw'!A254)="break","Break","Work"))</f>
        <v/>
      </c>
      <c r="E254" t="str">
        <f>IF('Clockify Raw'!A254="","",IF(LOWER('Clockify Raw'!A254)="break","Break",IF('Clockify Raw'!C254&lt;&gt;"",'Clockify Raw'!C254,IF('Clockify Raw'!D254&lt;&gt;"",'Clockify Raw'!D254,'Clockify Raw'!A254))))</f>
        <v/>
      </c>
      <c r="F254" s="24" t="str">
        <f>IF('Clockify Raw'!O254="","",'Clockify Raw'!O254/24)</f>
        <v/>
      </c>
      <c r="G254" t="str">
        <f>IF(A254="","",COUNTIFS($A$2:$A$1000,A254,$B$2:$B$1000,"&lt;"&amp;B254)+COUNTIFS($A$2:A254,A254,$B$2:B254,B254))</f>
        <v/>
      </c>
      <c r="H254" t="str">
        <f t="shared" si="3"/>
        <v/>
      </c>
    </row>
    <row r="255" spans="1:8">
      <c r="A255" s="25" t="str">
        <f>IF('Clockify Raw'!J255="","",'Clockify Raw'!J255)</f>
        <v/>
      </c>
      <c r="B255" s="23" t="str">
        <f>IF('Clockify Raw'!K255="","",VALUE('Clockify Raw'!K255))</f>
        <v/>
      </c>
      <c r="C255" s="23" t="str">
        <f>IF('Clockify Raw'!M255="","",VALUE('Clockify Raw'!M255))</f>
        <v/>
      </c>
      <c r="D255" t="str">
        <f>IF('Clockify Raw'!A255="","",IF(LOWER('Clockify Raw'!A255)="break","Break","Work"))</f>
        <v/>
      </c>
      <c r="E255" t="str">
        <f>IF('Clockify Raw'!A255="","",IF(LOWER('Clockify Raw'!A255)="break","Break",IF('Clockify Raw'!C255&lt;&gt;"",'Clockify Raw'!C255,IF('Clockify Raw'!D255&lt;&gt;"",'Clockify Raw'!D255,'Clockify Raw'!A255))))</f>
        <v/>
      </c>
      <c r="F255" s="24" t="str">
        <f>IF('Clockify Raw'!O255="","",'Clockify Raw'!O255/24)</f>
        <v/>
      </c>
      <c r="G255" t="str">
        <f>IF(A255="","",COUNTIFS($A$2:$A$1000,A255,$B$2:$B$1000,"&lt;"&amp;B255)+COUNTIFS($A$2:A255,A255,$B$2:B255,B255))</f>
        <v/>
      </c>
      <c r="H255" t="str">
        <f t="shared" si="3"/>
        <v/>
      </c>
    </row>
    <row r="256" spans="1:8">
      <c r="A256" s="25" t="str">
        <f>IF('Clockify Raw'!J256="","",'Clockify Raw'!J256)</f>
        <v/>
      </c>
      <c r="B256" s="23" t="str">
        <f>IF('Clockify Raw'!K256="","",VALUE('Clockify Raw'!K256))</f>
        <v/>
      </c>
      <c r="C256" s="23" t="str">
        <f>IF('Clockify Raw'!M256="","",VALUE('Clockify Raw'!M256))</f>
        <v/>
      </c>
      <c r="D256" t="str">
        <f>IF('Clockify Raw'!A256="","",IF(LOWER('Clockify Raw'!A256)="break","Break","Work"))</f>
        <v/>
      </c>
      <c r="E256" t="str">
        <f>IF('Clockify Raw'!A256="","",IF(LOWER('Clockify Raw'!A256)="break","Break",IF('Clockify Raw'!C256&lt;&gt;"",'Clockify Raw'!C256,IF('Clockify Raw'!D256&lt;&gt;"",'Clockify Raw'!D256,'Clockify Raw'!A256))))</f>
        <v/>
      </c>
      <c r="F256" s="24" t="str">
        <f>IF('Clockify Raw'!O256="","",'Clockify Raw'!O256/24)</f>
        <v/>
      </c>
      <c r="G256" t="str">
        <f>IF(A256="","",COUNTIFS($A$2:$A$1000,A256,$B$2:$B$1000,"&lt;"&amp;B256)+COUNTIFS($A$2:A256,A256,$B$2:B256,B256))</f>
        <v/>
      </c>
      <c r="H256" t="str">
        <f t="shared" si="3"/>
        <v/>
      </c>
    </row>
    <row r="257" spans="1:8">
      <c r="A257" s="25" t="str">
        <f>IF('Clockify Raw'!J257="","",'Clockify Raw'!J257)</f>
        <v/>
      </c>
      <c r="B257" s="23" t="str">
        <f>IF('Clockify Raw'!K257="","",VALUE('Clockify Raw'!K257))</f>
        <v/>
      </c>
      <c r="C257" s="23" t="str">
        <f>IF('Clockify Raw'!M257="","",VALUE('Clockify Raw'!M257))</f>
        <v/>
      </c>
      <c r="D257" t="str">
        <f>IF('Clockify Raw'!A257="","",IF(LOWER('Clockify Raw'!A257)="break","Break","Work"))</f>
        <v/>
      </c>
      <c r="E257" t="str">
        <f>IF('Clockify Raw'!A257="","",IF(LOWER('Clockify Raw'!A257)="break","Break",IF('Clockify Raw'!C257&lt;&gt;"",'Clockify Raw'!C257,IF('Clockify Raw'!D257&lt;&gt;"",'Clockify Raw'!D257,'Clockify Raw'!A257))))</f>
        <v/>
      </c>
      <c r="F257" s="24" t="str">
        <f>IF('Clockify Raw'!O257="","",'Clockify Raw'!O257/24)</f>
        <v/>
      </c>
      <c r="G257" t="str">
        <f>IF(A257="","",COUNTIFS($A$2:$A$1000,A257,$B$2:$B$1000,"&lt;"&amp;B257)+COUNTIFS($A$2:A257,A257,$B$2:B257,B257))</f>
        <v/>
      </c>
      <c r="H257" t="str">
        <f t="shared" si="3"/>
        <v/>
      </c>
    </row>
    <row r="258" spans="1:8">
      <c r="A258" s="25" t="str">
        <f>IF('Clockify Raw'!J258="","",'Clockify Raw'!J258)</f>
        <v/>
      </c>
      <c r="B258" s="23" t="str">
        <f>IF('Clockify Raw'!K258="","",VALUE('Clockify Raw'!K258))</f>
        <v/>
      </c>
      <c r="C258" s="23" t="str">
        <f>IF('Clockify Raw'!M258="","",VALUE('Clockify Raw'!M258))</f>
        <v/>
      </c>
      <c r="D258" t="str">
        <f>IF('Clockify Raw'!A258="","",IF(LOWER('Clockify Raw'!A258)="break","Break","Work"))</f>
        <v/>
      </c>
      <c r="E258" t="str">
        <f>IF('Clockify Raw'!A258="","",IF(LOWER('Clockify Raw'!A258)="break","Break",IF('Clockify Raw'!C258&lt;&gt;"",'Clockify Raw'!C258,IF('Clockify Raw'!D258&lt;&gt;"",'Clockify Raw'!D258,'Clockify Raw'!A258))))</f>
        <v/>
      </c>
      <c r="F258" s="24" t="str">
        <f>IF('Clockify Raw'!O258="","",'Clockify Raw'!O258/24)</f>
        <v/>
      </c>
      <c r="G258" t="str">
        <f>IF(A258="","",COUNTIFS($A$2:$A$1000,A258,$B$2:$B$1000,"&lt;"&amp;B258)+COUNTIFS($A$2:A258,A258,$B$2:B258,B258))</f>
        <v/>
      </c>
      <c r="H258" t="str">
        <f t="shared" ref="H258:H321" si="4">IF(A258="","",TEXT(A258,"yyyymmdd")&amp;"|"&amp;G258)</f>
        <v/>
      </c>
    </row>
    <row r="259" spans="1:8">
      <c r="A259" s="25" t="str">
        <f>IF('Clockify Raw'!J259="","",'Clockify Raw'!J259)</f>
        <v/>
      </c>
      <c r="B259" s="23" t="str">
        <f>IF('Clockify Raw'!K259="","",VALUE('Clockify Raw'!K259))</f>
        <v/>
      </c>
      <c r="C259" s="23" t="str">
        <f>IF('Clockify Raw'!M259="","",VALUE('Clockify Raw'!M259))</f>
        <v/>
      </c>
      <c r="D259" t="str">
        <f>IF('Clockify Raw'!A259="","",IF(LOWER('Clockify Raw'!A259)="break","Break","Work"))</f>
        <v/>
      </c>
      <c r="E259" t="str">
        <f>IF('Clockify Raw'!A259="","",IF(LOWER('Clockify Raw'!A259)="break","Break",IF('Clockify Raw'!C259&lt;&gt;"",'Clockify Raw'!C259,IF('Clockify Raw'!D259&lt;&gt;"",'Clockify Raw'!D259,'Clockify Raw'!A259))))</f>
        <v/>
      </c>
      <c r="F259" s="24" t="str">
        <f>IF('Clockify Raw'!O259="","",'Clockify Raw'!O259/24)</f>
        <v/>
      </c>
      <c r="G259" t="str">
        <f>IF(A259="","",COUNTIFS($A$2:$A$1000,A259,$B$2:$B$1000,"&lt;"&amp;B259)+COUNTIFS($A$2:A259,A259,$B$2:B259,B259))</f>
        <v/>
      </c>
      <c r="H259" t="str">
        <f t="shared" si="4"/>
        <v/>
      </c>
    </row>
    <row r="260" spans="1:8">
      <c r="A260" s="25" t="str">
        <f>IF('Clockify Raw'!J260="","",'Clockify Raw'!J260)</f>
        <v/>
      </c>
      <c r="B260" s="23" t="str">
        <f>IF('Clockify Raw'!K260="","",VALUE('Clockify Raw'!K260))</f>
        <v/>
      </c>
      <c r="C260" s="23" t="str">
        <f>IF('Clockify Raw'!M260="","",VALUE('Clockify Raw'!M260))</f>
        <v/>
      </c>
      <c r="D260" t="str">
        <f>IF('Clockify Raw'!A260="","",IF(LOWER('Clockify Raw'!A260)="break","Break","Work"))</f>
        <v/>
      </c>
      <c r="E260" t="str">
        <f>IF('Clockify Raw'!A260="","",IF(LOWER('Clockify Raw'!A260)="break","Break",IF('Clockify Raw'!C260&lt;&gt;"",'Clockify Raw'!C260,IF('Clockify Raw'!D260&lt;&gt;"",'Clockify Raw'!D260,'Clockify Raw'!A260))))</f>
        <v/>
      </c>
      <c r="F260" s="24" t="str">
        <f>IF('Clockify Raw'!O260="","",'Clockify Raw'!O260/24)</f>
        <v/>
      </c>
      <c r="G260" t="str">
        <f>IF(A260="","",COUNTIFS($A$2:$A$1000,A260,$B$2:$B$1000,"&lt;"&amp;B260)+COUNTIFS($A$2:A260,A260,$B$2:B260,B260))</f>
        <v/>
      </c>
      <c r="H260" t="str">
        <f t="shared" si="4"/>
        <v/>
      </c>
    </row>
    <row r="261" spans="1:8">
      <c r="A261" s="25" t="str">
        <f>IF('Clockify Raw'!J261="","",'Clockify Raw'!J261)</f>
        <v/>
      </c>
      <c r="B261" s="23" t="str">
        <f>IF('Clockify Raw'!K261="","",VALUE('Clockify Raw'!K261))</f>
        <v/>
      </c>
      <c r="C261" s="23" t="str">
        <f>IF('Clockify Raw'!M261="","",VALUE('Clockify Raw'!M261))</f>
        <v/>
      </c>
      <c r="D261" t="str">
        <f>IF('Clockify Raw'!A261="","",IF(LOWER('Clockify Raw'!A261)="break","Break","Work"))</f>
        <v/>
      </c>
      <c r="E261" t="str">
        <f>IF('Clockify Raw'!A261="","",IF(LOWER('Clockify Raw'!A261)="break","Break",IF('Clockify Raw'!C261&lt;&gt;"",'Clockify Raw'!C261,IF('Clockify Raw'!D261&lt;&gt;"",'Clockify Raw'!D261,'Clockify Raw'!A261))))</f>
        <v/>
      </c>
      <c r="F261" s="24" t="str">
        <f>IF('Clockify Raw'!O261="","",'Clockify Raw'!O261/24)</f>
        <v/>
      </c>
      <c r="G261" t="str">
        <f>IF(A261="","",COUNTIFS($A$2:$A$1000,A261,$B$2:$B$1000,"&lt;"&amp;B261)+COUNTIFS($A$2:A261,A261,$B$2:B261,B261))</f>
        <v/>
      </c>
      <c r="H261" t="str">
        <f t="shared" si="4"/>
        <v/>
      </c>
    </row>
    <row r="262" spans="1:8">
      <c r="A262" s="25" t="str">
        <f>IF('Clockify Raw'!J262="","",'Clockify Raw'!J262)</f>
        <v/>
      </c>
      <c r="B262" s="23" t="str">
        <f>IF('Clockify Raw'!K262="","",VALUE('Clockify Raw'!K262))</f>
        <v/>
      </c>
      <c r="C262" s="23" t="str">
        <f>IF('Clockify Raw'!M262="","",VALUE('Clockify Raw'!M262))</f>
        <v/>
      </c>
      <c r="D262" t="str">
        <f>IF('Clockify Raw'!A262="","",IF(LOWER('Clockify Raw'!A262)="break","Break","Work"))</f>
        <v/>
      </c>
      <c r="E262" t="str">
        <f>IF('Clockify Raw'!A262="","",IF(LOWER('Clockify Raw'!A262)="break","Break",IF('Clockify Raw'!C262&lt;&gt;"",'Clockify Raw'!C262,IF('Clockify Raw'!D262&lt;&gt;"",'Clockify Raw'!D262,'Clockify Raw'!A262))))</f>
        <v/>
      </c>
      <c r="F262" s="24" t="str">
        <f>IF('Clockify Raw'!O262="","",'Clockify Raw'!O262/24)</f>
        <v/>
      </c>
      <c r="G262" t="str">
        <f>IF(A262="","",COUNTIFS($A$2:$A$1000,A262,$B$2:$B$1000,"&lt;"&amp;B262)+COUNTIFS($A$2:A262,A262,$B$2:B262,B262))</f>
        <v/>
      </c>
      <c r="H262" t="str">
        <f t="shared" si="4"/>
        <v/>
      </c>
    </row>
    <row r="263" spans="1:8">
      <c r="A263" s="25" t="str">
        <f>IF('Clockify Raw'!J263="","",'Clockify Raw'!J263)</f>
        <v/>
      </c>
      <c r="B263" s="23" t="str">
        <f>IF('Clockify Raw'!K263="","",VALUE('Clockify Raw'!K263))</f>
        <v/>
      </c>
      <c r="C263" s="23" t="str">
        <f>IF('Clockify Raw'!M263="","",VALUE('Clockify Raw'!M263))</f>
        <v/>
      </c>
      <c r="D263" t="str">
        <f>IF('Clockify Raw'!A263="","",IF(LOWER('Clockify Raw'!A263)="break","Break","Work"))</f>
        <v/>
      </c>
      <c r="E263" t="str">
        <f>IF('Clockify Raw'!A263="","",IF(LOWER('Clockify Raw'!A263)="break","Break",IF('Clockify Raw'!C263&lt;&gt;"",'Clockify Raw'!C263,IF('Clockify Raw'!D263&lt;&gt;"",'Clockify Raw'!D263,'Clockify Raw'!A263))))</f>
        <v/>
      </c>
      <c r="F263" s="24" t="str">
        <f>IF('Clockify Raw'!O263="","",'Clockify Raw'!O263/24)</f>
        <v/>
      </c>
      <c r="G263" t="str">
        <f>IF(A263="","",COUNTIFS($A$2:$A$1000,A263,$B$2:$B$1000,"&lt;"&amp;B263)+COUNTIFS($A$2:A263,A263,$B$2:B263,B263))</f>
        <v/>
      </c>
      <c r="H263" t="str">
        <f t="shared" si="4"/>
        <v/>
      </c>
    </row>
    <row r="264" spans="1:8">
      <c r="A264" s="25" t="str">
        <f>IF('Clockify Raw'!J264="","",'Clockify Raw'!J264)</f>
        <v/>
      </c>
      <c r="B264" s="23" t="str">
        <f>IF('Clockify Raw'!K264="","",VALUE('Clockify Raw'!K264))</f>
        <v/>
      </c>
      <c r="C264" s="23" t="str">
        <f>IF('Clockify Raw'!M264="","",VALUE('Clockify Raw'!M264))</f>
        <v/>
      </c>
      <c r="D264" t="str">
        <f>IF('Clockify Raw'!A264="","",IF(LOWER('Clockify Raw'!A264)="break","Break","Work"))</f>
        <v/>
      </c>
      <c r="E264" t="str">
        <f>IF('Clockify Raw'!A264="","",IF(LOWER('Clockify Raw'!A264)="break","Break",IF('Clockify Raw'!C264&lt;&gt;"",'Clockify Raw'!C264,IF('Clockify Raw'!D264&lt;&gt;"",'Clockify Raw'!D264,'Clockify Raw'!A264))))</f>
        <v/>
      </c>
      <c r="F264" s="24" t="str">
        <f>IF('Clockify Raw'!O264="","",'Clockify Raw'!O264/24)</f>
        <v/>
      </c>
      <c r="G264" t="str">
        <f>IF(A264="","",COUNTIFS($A$2:$A$1000,A264,$B$2:$B$1000,"&lt;"&amp;B264)+COUNTIFS($A$2:A264,A264,$B$2:B264,B264))</f>
        <v/>
      </c>
      <c r="H264" t="str">
        <f t="shared" si="4"/>
        <v/>
      </c>
    </row>
    <row r="265" spans="1:8">
      <c r="A265" s="25" t="str">
        <f>IF('Clockify Raw'!J265="","",'Clockify Raw'!J265)</f>
        <v/>
      </c>
      <c r="B265" s="23" t="str">
        <f>IF('Clockify Raw'!K265="","",VALUE('Clockify Raw'!K265))</f>
        <v/>
      </c>
      <c r="C265" s="23" t="str">
        <f>IF('Clockify Raw'!M265="","",VALUE('Clockify Raw'!M265))</f>
        <v/>
      </c>
      <c r="D265" t="str">
        <f>IF('Clockify Raw'!A265="","",IF(LOWER('Clockify Raw'!A265)="break","Break","Work"))</f>
        <v/>
      </c>
      <c r="E265" t="str">
        <f>IF('Clockify Raw'!A265="","",IF(LOWER('Clockify Raw'!A265)="break","Break",IF('Clockify Raw'!C265&lt;&gt;"",'Clockify Raw'!C265,IF('Clockify Raw'!D265&lt;&gt;"",'Clockify Raw'!D265,'Clockify Raw'!A265))))</f>
        <v/>
      </c>
      <c r="F265" s="24" t="str">
        <f>IF('Clockify Raw'!O265="","",'Clockify Raw'!O265/24)</f>
        <v/>
      </c>
      <c r="G265" t="str">
        <f>IF(A265="","",COUNTIFS($A$2:$A$1000,A265,$B$2:$B$1000,"&lt;"&amp;B265)+COUNTIFS($A$2:A265,A265,$B$2:B265,B265))</f>
        <v/>
      </c>
      <c r="H265" t="str">
        <f t="shared" si="4"/>
        <v/>
      </c>
    </row>
    <row r="266" spans="1:8">
      <c r="A266" s="25" t="str">
        <f>IF('Clockify Raw'!J266="","",'Clockify Raw'!J266)</f>
        <v/>
      </c>
      <c r="B266" s="23" t="str">
        <f>IF('Clockify Raw'!K266="","",VALUE('Clockify Raw'!K266))</f>
        <v/>
      </c>
      <c r="C266" s="23" t="str">
        <f>IF('Clockify Raw'!M266="","",VALUE('Clockify Raw'!M266))</f>
        <v/>
      </c>
      <c r="D266" t="str">
        <f>IF('Clockify Raw'!A266="","",IF(LOWER('Clockify Raw'!A266)="break","Break","Work"))</f>
        <v/>
      </c>
      <c r="E266" t="str">
        <f>IF('Clockify Raw'!A266="","",IF(LOWER('Clockify Raw'!A266)="break","Break",IF('Clockify Raw'!C266&lt;&gt;"",'Clockify Raw'!C266,IF('Clockify Raw'!D266&lt;&gt;"",'Clockify Raw'!D266,'Clockify Raw'!A266))))</f>
        <v/>
      </c>
      <c r="F266" s="24" t="str">
        <f>IF('Clockify Raw'!O266="","",'Clockify Raw'!O266/24)</f>
        <v/>
      </c>
      <c r="G266" t="str">
        <f>IF(A266="","",COUNTIFS($A$2:$A$1000,A266,$B$2:$B$1000,"&lt;"&amp;B266)+COUNTIFS($A$2:A266,A266,$B$2:B266,B266))</f>
        <v/>
      </c>
      <c r="H266" t="str">
        <f t="shared" si="4"/>
        <v/>
      </c>
    </row>
    <row r="267" spans="1:8">
      <c r="A267" s="25" t="str">
        <f>IF('Clockify Raw'!J267="","",'Clockify Raw'!J267)</f>
        <v/>
      </c>
      <c r="B267" s="23" t="str">
        <f>IF('Clockify Raw'!K267="","",VALUE('Clockify Raw'!K267))</f>
        <v/>
      </c>
      <c r="C267" s="23" t="str">
        <f>IF('Clockify Raw'!M267="","",VALUE('Clockify Raw'!M267))</f>
        <v/>
      </c>
      <c r="D267" t="str">
        <f>IF('Clockify Raw'!A267="","",IF(LOWER('Clockify Raw'!A267)="break","Break","Work"))</f>
        <v/>
      </c>
      <c r="E267" t="str">
        <f>IF('Clockify Raw'!A267="","",IF(LOWER('Clockify Raw'!A267)="break","Break",IF('Clockify Raw'!C267&lt;&gt;"",'Clockify Raw'!C267,IF('Clockify Raw'!D267&lt;&gt;"",'Clockify Raw'!D267,'Clockify Raw'!A267))))</f>
        <v/>
      </c>
      <c r="F267" s="24" t="str">
        <f>IF('Clockify Raw'!O267="","",'Clockify Raw'!O267/24)</f>
        <v/>
      </c>
      <c r="G267" t="str">
        <f>IF(A267="","",COUNTIFS($A$2:$A$1000,A267,$B$2:$B$1000,"&lt;"&amp;B267)+COUNTIFS($A$2:A267,A267,$B$2:B267,B267))</f>
        <v/>
      </c>
      <c r="H267" t="str">
        <f t="shared" si="4"/>
        <v/>
      </c>
    </row>
    <row r="268" spans="1:8">
      <c r="A268" s="25" t="str">
        <f>IF('Clockify Raw'!J268="","",'Clockify Raw'!J268)</f>
        <v/>
      </c>
      <c r="B268" s="23" t="str">
        <f>IF('Clockify Raw'!K268="","",VALUE('Clockify Raw'!K268))</f>
        <v/>
      </c>
      <c r="C268" s="23" t="str">
        <f>IF('Clockify Raw'!M268="","",VALUE('Clockify Raw'!M268))</f>
        <v/>
      </c>
      <c r="D268" t="str">
        <f>IF('Clockify Raw'!A268="","",IF(LOWER('Clockify Raw'!A268)="break","Break","Work"))</f>
        <v/>
      </c>
      <c r="E268" t="str">
        <f>IF('Clockify Raw'!A268="","",IF(LOWER('Clockify Raw'!A268)="break","Break",IF('Clockify Raw'!C268&lt;&gt;"",'Clockify Raw'!C268,IF('Clockify Raw'!D268&lt;&gt;"",'Clockify Raw'!D268,'Clockify Raw'!A268))))</f>
        <v/>
      </c>
      <c r="F268" s="24" t="str">
        <f>IF('Clockify Raw'!O268="","",'Clockify Raw'!O268/24)</f>
        <v/>
      </c>
      <c r="G268" t="str">
        <f>IF(A268="","",COUNTIFS($A$2:$A$1000,A268,$B$2:$B$1000,"&lt;"&amp;B268)+COUNTIFS($A$2:A268,A268,$B$2:B268,B268))</f>
        <v/>
      </c>
      <c r="H268" t="str">
        <f t="shared" si="4"/>
        <v/>
      </c>
    </row>
    <row r="269" spans="1:8">
      <c r="A269" s="25" t="str">
        <f>IF('Clockify Raw'!J269="","",'Clockify Raw'!J269)</f>
        <v/>
      </c>
      <c r="B269" s="23" t="str">
        <f>IF('Clockify Raw'!K269="","",VALUE('Clockify Raw'!K269))</f>
        <v/>
      </c>
      <c r="C269" s="23" t="str">
        <f>IF('Clockify Raw'!M269="","",VALUE('Clockify Raw'!M269))</f>
        <v/>
      </c>
      <c r="D269" t="str">
        <f>IF('Clockify Raw'!A269="","",IF(LOWER('Clockify Raw'!A269)="break","Break","Work"))</f>
        <v/>
      </c>
      <c r="E269" t="str">
        <f>IF('Clockify Raw'!A269="","",IF(LOWER('Clockify Raw'!A269)="break","Break",IF('Clockify Raw'!C269&lt;&gt;"",'Clockify Raw'!C269,IF('Clockify Raw'!D269&lt;&gt;"",'Clockify Raw'!D269,'Clockify Raw'!A269))))</f>
        <v/>
      </c>
      <c r="F269" s="24" t="str">
        <f>IF('Clockify Raw'!O269="","",'Clockify Raw'!O269/24)</f>
        <v/>
      </c>
      <c r="G269" t="str">
        <f>IF(A269="","",COUNTIFS($A$2:$A$1000,A269,$B$2:$B$1000,"&lt;"&amp;B269)+COUNTIFS($A$2:A269,A269,$B$2:B269,B269))</f>
        <v/>
      </c>
      <c r="H269" t="str">
        <f t="shared" si="4"/>
        <v/>
      </c>
    </row>
    <row r="270" spans="1:8">
      <c r="A270" s="25" t="str">
        <f>IF('Clockify Raw'!J270="","",'Clockify Raw'!J270)</f>
        <v/>
      </c>
      <c r="B270" s="23" t="str">
        <f>IF('Clockify Raw'!K270="","",VALUE('Clockify Raw'!K270))</f>
        <v/>
      </c>
      <c r="C270" s="23" t="str">
        <f>IF('Clockify Raw'!M270="","",VALUE('Clockify Raw'!M270))</f>
        <v/>
      </c>
      <c r="D270" t="str">
        <f>IF('Clockify Raw'!A270="","",IF(LOWER('Clockify Raw'!A270)="break","Break","Work"))</f>
        <v/>
      </c>
      <c r="E270" t="str">
        <f>IF('Clockify Raw'!A270="","",IF(LOWER('Clockify Raw'!A270)="break","Break",IF('Clockify Raw'!C270&lt;&gt;"",'Clockify Raw'!C270,IF('Clockify Raw'!D270&lt;&gt;"",'Clockify Raw'!D270,'Clockify Raw'!A270))))</f>
        <v/>
      </c>
      <c r="F270" s="24" t="str">
        <f>IF('Clockify Raw'!O270="","",'Clockify Raw'!O270/24)</f>
        <v/>
      </c>
      <c r="G270" t="str">
        <f>IF(A270="","",COUNTIFS($A$2:$A$1000,A270,$B$2:$B$1000,"&lt;"&amp;B270)+COUNTIFS($A$2:A270,A270,$B$2:B270,B270))</f>
        <v/>
      </c>
      <c r="H270" t="str">
        <f t="shared" si="4"/>
        <v/>
      </c>
    </row>
    <row r="271" spans="1:8">
      <c r="A271" s="25" t="str">
        <f>IF('Clockify Raw'!J271="","",'Clockify Raw'!J271)</f>
        <v/>
      </c>
      <c r="B271" s="23" t="str">
        <f>IF('Clockify Raw'!K271="","",VALUE('Clockify Raw'!K271))</f>
        <v/>
      </c>
      <c r="C271" s="23" t="str">
        <f>IF('Clockify Raw'!M271="","",VALUE('Clockify Raw'!M271))</f>
        <v/>
      </c>
      <c r="D271" t="str">
        <f>IF('Clockify Raw'!A271="","",IF(LOWER('Clockify Raw'!A271)="break","Break","Work"))</f>
        <v/>
      </c>
      <c r="E271" t="str">
        <f>IF('Clockify Raw'!A271="","",IF(LOWER('Clockify Raw'!A271)="break","Break",IF('Clockify Raw'!C271&lt;&gt;"",'Clockify Raw'!C271,IF('Clockify Raw'!D271&lt;&gt;"",'Clockify Raw'!D271,'Clockify Raw'!A271))))</f>
        <v/>
      </c>
      <c r="F271" s="24" t="str">
        <f>IF('Clockify Raw'!O271="","",'Clockify Raw'!O271/24)</f>
        <v/>
      </c>
      <c r="G271" t="str">
        <f>IF(A271="","",COUNTIFS($A$2:$A$1000,A271,$B$2:$B$1000,"&lt;"&amp;B271)+COUNTIFS($A$2:A271,A271,$B$2:B271,B271))</f>
        <v/>
      </c>
      <c r="H271" t="str">
        <f t="shared" si="4"/>
        <v/>
      </c>
    </row>
    <row r="272" spans="1:8">
      <c r="A272" s="25" t="str">
        <f>IF('Clockify Raw'!J272="","",'Clockify Raw'!J272)</f>
        <v/>
      </c>
      <c r="B272" s="23" t="str">
        <f>IF('Clockify Raw'!K272="","",VALUE('Clockify Raw'!K272))</f>
        <v/>
      </c>
      <c r="C272" s="23" t="str">
        <f>IF('Clockify Raw'!M272="","",VALUE('Clockify Raw'!M272))</f>
        <v/>
      </c>
      <c r="D272" t="str">
        <f>IF('Clockify Raw'!A272="","",IF(LOWER('Clockify Raw'!A272)="break","Break","Work"))</f>
        <v/>
      </c>
      <c r="E272" t="str">
        <f>IF('Clockify Raw'!A272="","",IF(LOWER('Clockify Raw'!A272)="break","Break",IF('Clockify Raw'!C272&lt;&gt;"",'Clockify Raw'!C272,IF('Clockify Raw'!D272&lt;&gt;"",'Clockify Raw'!D272,'Clockify Raw'!A272))))</f>
        <v/>
      </c>
      <c r="F272" s="24" t="str">
        <f>IF('Clockify Raw'!O272="","",'Clockify Raw'!O272/24)</f>
        <v/>
      </c>
      <c r="G272" t="str">
        <f>IF(A272="","",COUNTIFS($A$2:$A$1000,A272,$B$2:$B$1000,"&lt;"&amp;B272)+COUNTIFS($A$2:A272,A272,$B$2:B272,B272))</f>
        <v/>
      </c>
      <c r="H272" t="str">
        <f t="shared" si="4"/>
        <v/>
      </c>
    </row>
    <row r="273" spans="1:8">
      <c r="A273" s="25" t="str">
        <f>IF('Clockify Raw'!J273="","",'Clockify Raw'!J273)</f>
        <v/>
      </c>
      <c r="B273" s="23" t="str">
        <f>IF('Clockify Raw'!K273="","",VALUE('Clockify Raw'!K273))</f>
        <v/>
      </c>
      <c r="C273" s="23" t="str">
        <f>IF('Clockify Raw'!M273="","",VALUE('Clockify Raw'!M273))</f>
        <v/>
      </c>
      <c r="D273" t="str">
        <f>IF('Clockify Raw'!A273="","",IF(LOWER('Clockify Raw'!A273)="break","Break","Work"))</f>
        <v/>
      </c>
      <c r="E273" t="str">
        <f>IF('Clockify Raw'!A273="","",IF(LOWER('Clockify Raw'!A273)="break","Break",IF('Clockify Raw'!C273&lt;&gt;"",'Clockify Raw'!C273,IF('Clockify Raw'!D273&lt;&gt;"",'Clockify Raw'!D273,'Clockify Raw'!A273))))</f>
        <v/>
      </c>
      <c r="F273" s="24" t="str">
        <f>IF('Clockify Raw'!O273="","",'Clockify Raw'!O273/24)</f>
        <v/>
      </c>
      <c r="G273" t="str">
        <f>IF(A273="","",COUNTIFS($A$2:$A$1000,A273,$B$2:$B$1000,"&lt;"&amp;B273)+COUNTIFS($A$2:A273,A273,$B$2:B273,B273))</f>
        <v/>
      </c>
      <c r="H273" t="str">
        <f t="shared" si="4"/>
        <v/>
      </c>
    </row>
    <row r="274" spans="1:8">
      <c r="A274" s="25" t="str">
        <f>IF('Clockify Raw'!J274="","",'Clockify Raw'!J274)</f>
        <v/>
      </c>
      <c r="B274" s="23" t="str">
        <f>IF('Clockify Raw'!K274="","",VALUE('Clockify Raw'!K274))</f>
        <v/>
      </c>
      <c r="C274" s="23" t="str">
        <f>IF('Clockify Raw'!M274="","",VALUE('Clockify Raw'!M274))</f>
        <v/>
      </c>
      <c r="D274" t="str">
        <f>IF('Clockify Raw'!A274="","",IF(LOWER('Clockify Raw'!A274)="break","Break","Work"))</f>
        <v/>
      </c>
      <c r="E274" t="str">
        <f>IF('Clockify Raw'!A274="","",IF(LOWER('Clockify Raw'!A274)="break","Break",IF('Clockify Raw'!C274&lt;&gt;"",'Clockify Raw'!C274,IF('Clockify Raw'!D274&lt;&gt;"",'Clockify Raw'!D274,'Clockify Raw'!A274))))</f>
        <v/>
      </c>
      <c r="F274" s="24" t="str">
        <f>IF('Clockify Raw'!O274="","",'Clockify Raw'!O274/24)</f>
        <v/>
      </c>
      <c r="G274" t="str">
        <f>IF(A274="","",COUNTIFS($A$2:$A$1000,A274,$B$2:$B$1000,"&lt;"&amp;B274)+COUNTIFS($A$2:A274,A274,$B$2:B274,B274))</f>
        <v/>
      </c>
      <c r="H274" t="str">
        <f t="shared" si="4"/>
        <v/>
      </c>
    </row>
    <row r="275" spans="1:8">
      <c r="A275" s="25" t="str">
        <f>IF('Clockify Raw'!J275="","",'Clockify Raw'!J275)</f>
        <v/>
      </c>
      <c r="B275" s="23" t="str">
        <f>IF('Clockify Raw'!K275="","",VALUE('Clockify Raw'!K275))</f>
        <v/>
      </c>
      <c r="C275" s="23" t="str">
        <f>IF('Clockify Raw'!M275="","",VALUE('Clockify Raw'!M275))</f>
        <v/>
      </c>
      <c r="D275" t="str">
        <f>IF('Clockify Raw'!A275="","",IF(LOWER('Clockify Raw'!A275)="break","Break","Work"))</f>
        <v/>
      </c>
      <c r="E275" t="str">
        <f>IF('Clockify Raw'!A275="","",IF(LOWER('Clockify Raw'!A275)="break","Break",IF('Clockify Raw'!C275&lt;&gt;"",'Clockify Raw'!C275,IF('Clockify Raw'!D275&lt;&gt;"",'Clockify Raw'!D275,'Clockify Raw'!A275))))</f>
        <v/>
      </c>
      <c r="F275" s="24" t="str">
        <f>IF('Clockify Raw'!O275="","",'Clockify Raw'!O275/24)</f>
        <v/>
      </c>
      <c r="G275" t="str">
        <f>IF(A275="","",COUNTIFS($A$2:$A$1000,A275,$B$2:$B$1000,"&lt;"&amp;B275)+COUNTIFS($A$2:A275,A275,$B$2:B275,B275))</f>
        <v/>
      </c>
      <c r="H275" t="str">
        <f t="shared" si="4"/>
        <v/>
      </c>
    </row>
    <row r="276" spans="1:8">
      <c r="A276" s="25" t="str">
        <f>IF('Clockify Raw'!J276="","",'Clockify Raw'!J276)</f>
        <v/>
      </c>
      <c r="B276" s="23" t="str">
        <f>IF('Clockify Raw'!K276="","",VALUE('Clockify Raw'!K276))</f>
        <v/>
      </c>
      <c r="C276" s="23" t="str">
        <f>IF('Clockify Raw'!M276="","",VALUE('Clockify Raw'!M276))</f>
        <v/>
      </c>
      <c r="D276" t="str">
        <f>IF('Clockify Raw'!A276="","",IF(LOWER('Clockify Raw'!A276)="break","Break","Work"))</f>
        <v/>
      </c>
      <c r="E276" t="str">
        <f>IF('Clockify Raw'!A276="","",IF(LOWER('Clockify Raw'!A276)="break","Break",IF('Clockify Raw'!C276&lt;&gt;"",'Clockify Raw'!C276,IF('Clockify Raw'!D276&lt;&gt;"",'Clockify Raw'!D276,'Clockify Raw'!A276))))</f>
        <v/>
      </c>
      <c r="F276" s="24" t="str">
        <f>IF('Clockify Raw'!O276="","",'Clockify Raw'!O276/24)</f>
        <v/>
      </c>
      <c r="G276" t="str">
        <f>IF(A276="","",COUNTIFS($A$2:$A$1000,A276,$B$2:$B$1000,"&lt;"&amp;B276)+COUNTIFS($A$2:A276,A276,$B$2:B276,B276))</f>
        <v/>
      </c>
      <c r="H276" t="str">
        <f t="shared" si="4"/>
        <v/>
      </c>
    </row>
    <row r="277" spans="1:8">
      <c r="A277" s="25" t="str">
        <f>IF('Clockify Raw'!J277="","",'Clockify Raw'!J277)</f>
        <v/>
      </c>
      <c r="B277" s="23" t="str">
        <f>IF('Clockify Raw'!K277="","",VALUE('Clockify Raw'!K277))</f>
        <v/>
      </c>
      <c r="C277" s="23" t="str">
        <f>IF('Clockify Raw'!M277="","",VALUE('Clockify Raw'!M277))</f>
        <v/>
      </c>
      <c r="D277" t="str">
        <f>IF('Clockify Raw'!A277="","",IF(LOWER('Clockify Raw'!A277)="break","Break","Work"))</f>
        <v/>
      </c>
      <c r="E277" t="str">
        <f>IF('Clockify Raw'!A277="","",IF(LOWER('Clockify Raw'!A277)="break","Break",IF('Clockify Raw'!C277&lt;&gt;"",'Clockify Raw'!C277,IF('Clockify Raw'!D277&lt;&gt;"",'Clockify Raw'!D277,'Clockify Raw'!A277))))</f>
        <v/>
      </c>
      <c r="F277" s="24" t="str">
        <f>IF('Clockify Raw'!O277="","",'Clockify Raw'!O277/24)</f>
        <v/>
      </c>
      <c r="G277" t="str">
        <f>IF(A277="","",COUNTIFS($A$2:$A$1000,A277,$B$2:$B$1000,"&lt;"&amp;B277)+COUNTIFS($A$2:A277,A277,$B$2:B277,B277))</f>
        <v/>
      </c>
      <c r="H277" t="str">
        <f t="shared" si="4"/>
        <v/>
      </c>
    </row>
    <row r="278" spans="1:8">
      <c r="A278" s="25" t="str">
        <f>IF('Clockify Raw'!J278="","",'Clockify Raw'!J278)</f>
        <v/>
      </c>
      <c r="B278" s="23" t="str">
        <f>IF('Clockify Raw'!K278="","",VALUE('Clockify Raw'!K278))</f>
        <v/>
      </c>
      <c r="C278" s="23" t="str">
        <f>IF('Clockify Raw'!M278="","",VALUE('Clockify Raw'!M278))</f>
        <v/>
      </c>
      <c r="D278" t="str">
        <f>IF('Clockify Raw'!A278="","",IF(LOWER('Clockify Raw'!A278)="break","Break","Work"))</f>
        <v/>
      </c>
      <c r="E278" t="str">
        <f>IF('Clockify Raw'!A278="","",IF(LOWER('Clockify Raw'!A278)="break","Break",IF('Clockify Raw'!C278&lt;&gt;"",'Clockify Raw'!C278,IF('Clockify Raw'!D278&lt;&gt;"",'Clockify Raw'!D278,'Clockify Raw'!A278))))</f>
        <v/>
      </c>
      <c r="F278" s="24" t="str">
        <f>IF('Clockify Raw'!O278="","",'Clockify Raw'!O278/24)</f>
        <v/>
      </c>
      <c r="G278" t="str">
        <f>IF(A278="","",COUNTIFS($A$2:$A$1000,A278,$B$2:$B$1000,"&lt;"&amp;B278)+COUNTIFS($A$2:A278,A278,$B$2:B278,B278))</f>
        <v/>
      </c>
      <c r="H278" t="str">
        <f t="shared" si="4"/>
        <v/>
      </c>
    </row>
    <row r="279" spans="1:8">
      <c r="A279" s="25" t="str">
        <f>IF('Clockify Raw'!J279="","",'Clockify Raw'!J279)</f>
        <v/>
      </c>
      <c r="B279" s="23" t="str">
        <f>IF('Clockify Raw'!K279="","",VALUE('Clockify Raw'!K279))</f>
        <v/>
      </c>
      <c r="C279" s="23" t="str">
        <f>IF('Clockify Raw'!M279="","",VALUE('Clockify Raw'!M279))</f>
        <v/>
      </c>
      <c r="D279" t="str">
        <f>IF('Clockify Raw'!A279="","",IF(LOWER('Clockify Raw'!A279)="break","Break","Work"))</f>
        <v/>
      </c>
      <c r="E279" t="str">
        <f>IF('Clockify Raw'!A279="","",IF(LOWER('Clockify Raw'!A279)="break","Break",IF('Clockify Raw'!C279&lt;&gt;"",'Clockify Raw'!C279,IF('Clockify Raw'!D279&lt;&gt;"",'Clockify Raw'!D279,'Clockify Raw'!A279))))</f>
        <v/>
      </c>
      <c r="F279" s="24" t="str">
        <f>IF('Clockify Raw'!O279="","",'Clockify Raw'!O279/24)</f>
        <v/>
      </c>
      <c r="G279" t="str">
        <f>IF(A279="","",COUNTIFS($A$2:$A$1000,A279,$B$2:$B$1000,"&lt;"&amp;B279)+COUNTIFS($A$2:A279,A279,$B$2:B279,B279))</f>
        <v/>
      </c>
      <c r="H279" t="str">
        <f t="shared" si="4"/>
        <v/>
      </c>
    </row>
    <row r="280" spans="1:8">
      <c r="A280" s="25" t="str">
        <f>IF('Clockify Raw'!J280="","",'Clockify Raw'!J280)</f>
        <v/>
      </c>
      <c r="B280" s="23" t="str">
        <f>IF('Clockify Raw'!K280="","",VALUE('Clockify Raw'!K280))</f>
        <v/>
      </c>
      <c r="C280" s="23" t="str">
        <f>IF('Clockify Raw'!M280="","",VALUE('Clockify Raw'!M280))</f>
        <v/>
      </c>
      <c r="D280" t="str">
        <f>IF('Clockify Raw'!A280="","",IF(LOWER('Clockify Raw'!A280)="break","Break","Work"))</f>
        <v/>
      </c>
      <c r="E280" t="str">
        <f>IF('Clockify Raw'!A280="","",IF(LOWER('Clockify Raw'!A280)="break","Break",IF('Clockify Raw'!C280&lt;&gt;"",'Clockify Raw'!C280,IF('Clockify Raw'!D280&lt;&gt;"",'Clockify Raw'!D280,'Clockify Raw'!A280))))</f>
        <v/>
      </c>
      <c r="F280" s="24" t="str">
        <f>IF('Clockify Raw'!O280="","",'Clockify Raw'!O280/24)</f>
        <v/>
      </c>
      <c r="G280" t="str">
        <f>IF(A280="","",COUNTIFS($A$2:$A$1000,A280,$B$2:$B$1000,"&lt;"&amp;B280)+COUNTIFS($A$2:A280,A280,$B$2:B280,B280))</f>
        <v/>
      </c>
      <c r="H280" t="str">
        <f t="shared" si="4"/>
        <v/>
      </c>
    </row>
    <row r="281" spans="1:8">
      <c r="A281" s="25" t="str">
        <f>IF('Clockify Raw'!J281="","",'Clockify Raw'!J281)</f>
        <v/>
      </c>
      <c r="B281" s="23" t="str">
        <f>IF('Clockify Raw'!K281="","",VALUE('Clockify Raw'!K281))</f>
        <v/>
      </c>
      <c r="C281" s="23" t="str">
        <f>IF('Clockify Raw'!M281="","",VALUE('Clockify Raw'!M281))</f>
        <v/>
      </c>
      <c r="D281" t="str">
        <f>IF('Clockify Raw'!A281="","",IF(LOWER('Clockify Raw'!A281)="break","Break","Work"))</f>
        <v/>
      </c>
      <c r="E281" t="str">
        <f>IF('Clockify Raw'!A281="","",IF(LOWER('Clockify Raw'!A281)="break","Break",IF('Clockify Raw'!C281&lt;&gt;"",'Clockify Raw'!C281,IF('Clockify Raw'!D281&lt;&gt;"",'Clockify Raw'!D281,'Clockify Raw'!A281))))</f>
        <v/>
      </c>
      <c r="F281" s="24" t="str">
        <f>IF('Clockify Raw'!O281="","",'Clockify Raw'!O281/24)</f>
        <v/>
      </c>
      <c r="G281" t="str">
        <f>IF(A281="","",COUNTIFS($A$2:$A$1000,A281,$B$2:$B$1000,"&lt;"&amp;B281)+COUNTIFS($A$2:A281,A281,$B$2:B281,B281))</f>
        <v/>
      </c>
      <c r="H281" t="str">
        <f t="shared" si="4"/>
        <v/>
      </c>
    </row>
    <row r="282" spans="1:8">
      <c r="A282" s="25" t="str">
        <f>IF('Clockify Raw'!J282="","",'Clockify Raw'!J282)</f>
        <v/>
      </c>
      <c r="B282" s="23" t="str">
        <f>IF('Clockify Raw'!K282="","",VALUE('Clockify Raw'!K282))</f>
        <v/>
      </c>
      <c r="C282" s="23" t="str">
        <f>IF('Clockify Raw'!M282="","",VALUE('Clockify Raw'!M282))</f>
        <v/>
      </c>
      <c r="D282" t="str">
        <f>IF('Clockify Raw'!A282="","",IF(LOWER('Clockify Raw'!A282)="break","Break","Work"))</f>
        <v/>
      </c>
      <c r="E282" t="str">
        <f>IF('Clockify Raw'!A282="","",IF(LOWER('Clockify Raw'!A282)="break","Break",IF('Clockify Raw'!C282&lt;&gt;"",'Clockify Raw'!C282,IF('Clockify Raw'!D282&lt;&gt;"",'Clockify Raw'!D282,'Clockify Raw'!A282))))</f>
        <v/>
      </c>
      <c r="F282" s="24" t="str">
        <f>IF('Clockify Raw'!O282="","",'Clockify Raw'!O282/24)</f>
        <v/>
      </c>
      <c r="G282" t="str">
        <f>IF(A282="","",COUNTIFS($A$2:$A$1000,A282,$B$2:$B$1000,"&lt;"&amp;B282)+COUNTIFS($A$2:A282,A282,$B$2:B282,B282))</f>
        <v/>
      </c>
      <c r="H282" t="str">
        <f t="shared" si="4"/>
        <v/>
      </c>
    </row>
    <row r="283" spans="1:8">
      <c r="A283" s="25" t="str">
        <f>IF('Clockify Raw'!J283="","",'Clockify Raw'!J283)</f>
        <v/>
      </c>
      <c r="B283" s="23" t="str">
        <f>IF('Clockify Raw'!K283="","",VALUE('Clockify Raw'!K283))</f>
        <v/>
      </c>
      <c r="C283" s="23" t="str">
        <f>IF('Clockify Raw'!M283="","",VALUE('Clockify Raw'!M283))</f>
        <v/>
      </c>
      <c r="D283" t="str">
        <f>IF('Clockify Raw'!A283="","",IF(LOWER('Clockify Raw'!A283)="break","Break","Work"))</f>
        <v/>
      </c>
      <c r="E283" t="str">
        <f>IF('Clockify Raw'!A283="","",IF(LOWER('Clockify Raw'!A283)="break","Break",IF('Clockify Raw'!C283&lt;&gt;"",'Clockify Raw'!C283,IF('Clockify Raw'!D283&lt;&gt;"",'Clockify Raw'!D283,'Clockify Raw'!A283))))</f>
        <v/>
      </c>
      <c r="F283" s="24" t="str">
        <f>IF('Clockify Raw'!O283="","",'Clockify Raw'!O283/24)</f>
        <v/>
      </c>
      <c r="G283" t="str">
        <f>IF(A283="","",COUNTIFS($A$2:$A$1000,A283,$B$2:$B$1000,"&lt;"&amp;B283)+COUNTIFS($A$2:A283,A283,$B$2:B283,B283))</f>
        <v/>
      </c>
      <c r="H283" t="str">
        <f t="shared" si="4"/>
        <v/>
      </c>
    </row>
    <row r="284" spans="1:8">
      <c r="A284" s="25" t="str">
        <f>IF('Clockify Raw'!J284="","",'Clockify Raw'!J284)</f>
        <v/>
      </c>
      <c r="B284" s="23" t="str">
        <f>IF('Clockify Raw'!K284="","",VALUE('Clockify Raw'!K284))</f>
        <v/>
      </c>
      <c r="C284" s="23" t="str">
        <f>IF('Clockify Raw'!M284="","",VALUE('Clockify Raw'!M284))</f>
        <v/>
      </c>
      <c r="D284" t="str">
        <f>IF('Clockify Raw'!A284="","",IF(LOWER('Clockify Raw'!A284)="break","Break","Work"))</f>
        <v/>
      </c>
      <c r="E284" t="str">
        <f>IF('Clockify Raw'!A284="","",IF(LOWER('Clockify Raw'!A284)="break","Break",IF('Clockify Raw'!C284&lt;&gt;"",'Clockify Raw'!C284,IF('Clockify Raw'!D284&lt;&gt;"",'Clockify Raw'!D284,'Clockify Raw'!A284))))</f>
        <v/>
      </c>
      <c r="F284" s="24" t="str">
        <f>IF('Clockify Raw'!O284="","",'Clockify Raw'!O284/24)</f>
        <v/>
      </c>
      <c r="G284" t="str">
        <f>IF(A284="","",COUNTIFS($A$2:$A$1000,A284,$B$2:$B$1000,"&lt;"&amp;B284)+COUNTIFS($A$2:A284,A284,$B$2:B284,B284))</f>
        <v/>
      </c>
      <c r="H284" t="str">
        <f t="shared" si="4"/>
        <v/>
      </c>
    </row>
    <row r="285" spans="1:8">
      <c r="A285" s="25" t="str">
        <f>IF('Clockify Raw'!J285="","",'Clockify Raw'!J285)</f>
        <v/>
      </c>
      <c r="B285" s="23" t="str">
        <f>IF('Clockify Raw'!K285="","",VALUE('Clockify Raw'!K285))</f>
        <v/>
      </c>
      <c r="C285" s="23" t="str">
        <f>IF('Clockify Raw'!M285="","",VALUE('Clockify Raw'!M285))</f>
        <v/>
      </c>
      <c r="D285" t="str">
        <f>IF('Clockify Raw'!A285="","",IF(LOWER('Clockify Raw'!A285)="break","Break","Work"))</f>
        <v/>
      </c>
      <c r="E285" t="str">
        <f>IF('Clockify Raw'!A285="","",IF(LOWER('Clockify Raw'!A285)="break","Break",IF('Clockify Raw'!C285&lt;&gt;"",'Clockify Raw'!C285,IF('Clockify Raw'!D285&lt;&gt;"",'Clockify Raw'!D285,'Clockify Raw'!A285))))</f>
        <v/>
      </c>
      <c r="F285" s="24" t="str">
        <f>IF('Clockify Raw'!O285="","",'Clockify Raw'!O285/24)</f>
        <v/>
      </c>
      <c r="G285" t="str">
        <f>IF(A285="","",COUNTIFS($A$2:$A$1000,A285,$B$2:$B$1000,"&lt;"&amp;B285)+COUNTIFS($A$2:A285,A285,$B$2:B285,B285))</f>
        <v/>
      </c>
      <c r="H285" t="str">
        <f t="shared" si="4"/>
        <v/>
      </c>
    </row>
    <row r="286" spans="1:8">
      <c r="A286" s="25" t="str">
        <f>IF('Clockify Raw'!J286="","",'Clockify Raw'!J286)</f>
        <v/>
      </c>
      <c r="B286" s="23" t="str">
        <f>IF('Clockify Raw'!K286="","",VALUE('Clockify Raw'!K286))</f>
        <v/>
      </c>
      <c r="C286" s="23" t="str">
        <f>IF('Clockify Raw'!M286="","",VALUE('Clockify Raw'!M286))</f>
        <v/>
      </c>
      <c r="D286" t="str">
        <f>IF('Clockify Raw'!A286="","",IF(LOWER('Clockify Raw'!A286)="break","Break","Work"))</f>
        <v/>
      </c>
      <c r="E286" t="str">
        <f>IF('Clockify Raw'!A286="","",IF(LOWER('Clockify Raw'!A286)="break","Break",IF('Clockify Raw'!C286&lt;&gt;"",'Clockify Raw'!C286,IF('Clockify Raw'!D286&lt;&gt;"",'Clockify Raw'!D286,'Clockify Raw'!A286))))</f>
        <v/>
      </c>
      <c r="F286" s="24" t="str">
        <f>IF('Clockify Raw'!O286="","",'Clockify Raw'!O286/24)</f>
        <v/>
      </c>
      <c r="G286" t="str">
        <f>IF(A286="","",COUNTIFS($A$2:$A$1000,A286,$B$2:$B$1000,"&lt;"&amp;B286)+COUNTIFS($A$2:A286,A286,$B$2:B286,B286))</f>
        <v/>
      </c>
      <c r="H286" t="str">
        <f t="shared" si="4"/>
        <v/>
      </c>
    </row>
    <row r="287" spans="1:8">
      <c r="A287" s="25" t="str">
        <f>IF('Clockify Raw'!J287="","",'Clockify Raw'!J287)</f>
        <v/>
      </c>
      <c r="B287" s="23" t="str">
        <f>IF('Clockify Raw'!K287="","",VALUE('Clockify Raw'!K287))</f>
        <v/>
      </c>
      <c r="C287" s="23" t="str">
        <f>IF('Clockify Raw'!M287="","",VALUE('Clockify Raw'!M287))</f>
        <v/>
      </c>
      <c r="D287" t="str">
        <f>IF('Clockify Raw'!A287="","",IF(LOWER('Clockify Raw'!A287)="break","Break","Work"))</f>
        <v/>
      </c>
      <c r="E287" t="str">
        <f>IF('Clockify Raw'!A287="","",IF(LOWER('Clockify Raw'!A287)="break","Break",IF('Clockify Raw'!C287&lt;&gt;"",'Clockify Raw'!C287,IF('Clockify Raw'!D287&lt;&gt;"",'Clockify Raw'!D287,'Clockify Raw'!A287))))</f>
        <v/>
      </c>
      <c r="F287" s="24" t="str">
        <f>IF('Clockify Raw'!O287="","",'Clockify Raw'!O287/24)</f>
        <v/>
      </c>
      <c r="G287" t="str">
        <f>IF(A287="","",COUNTIFS($A$2:$A$1000,A287,$B$2:$B$1000,"&lt;"&amp;B287)+COUNTIFS($A$2:A287,A287,$B$2:B287,B287))</f>
        <v/>
      </c>
      <c r="H287" t="str">
        <f t="shared" si="4"/>
        <v/>
      </c>
    </row>
    <row r="288" spans="1:8">
      <c r="A288" s="25" t="str">
        <f>IF('Clockify Raw'!J288="","",'Clockify Raw'!J288)</f>
        <v/>
      </c>
      <c r="B288" s="23" t="str">
        <f>IF('Clockify Raw'!K288="","",VALUE('Clockify Raw'!K288))</f>
        <v/>
      </c>
      <c r="C288" s="23" t="str">
        <f>IF('Clockify Raw'!M288="","",VALUE('Clockify Raw'!M288))</f>
        <v/>
      </c>
      <c r="D288" t="str">
        <f>IF('Clockify Raw'!A288="","",IF(LOWER('Clockify Raw'!A288)="break","Break","Work"))</f>
        <v/>
      </c>
      <c r="E288" t="str">
        <f>IF('Clockify Raw'!A288="","",IF(LOWER('Clockify Raw'!A288)="break","Break",IF('Clockify Raw'!C288&lt;&gt;"",'Clockify Raw'!C288,IF('Clockify Raw'!D288&lt;&gt;"",'Clockify Raw'!D288,'Clockify Raw'!A288))))</f>
        <v/>
      </c>
      <c r="F288" s="24" t="str">
        <f>IF('Clockify Raw'!O288="","",'Clockify Raw'!O288/24)</f>
        <v/>
      </c>
      <c r="G288" t="str">
        <f>IF(A288="","",COUNTIFS($A$2:$A$1000,A288,$B$2:$B$1000,"&lt;"&amp;B288)+COUNTIFS($A$2:A288,A288,$B$2:B288,B288))</f>
        <v/>
      </c>
      <c r="H288" t="str">
        <f t="shared" si="4"/>
        <v/>
      </c>
    </row>
    <row r="289" spans="1:8">
      <c r="A289" s="25" t="str">
        <f>IF('Clockify Raw'!J289="","",'Clockify Raw'!J289)</f>
        <v/>
      </c>
      <c r="B289" s="23" t="str">
        <f>IF('Clockify Raw'!K289="","",VALUE('Clockify Raw'!K289))</f>
        <v/>
      </c>
      <c r="C289" s="23" t="str">
        <f>IF('Clockify Raw'!M289="","",VALUE('Clockify Raw'!M289))</f>
        <v/>
      </c>
      <c r="D289" t="str">
        <f>IF('Clockify Raw'!A289="","",IF(LOWER('Clockify Raw'!A289)="break","Break","Work"))</f>
        <v/>
      </c>
      <c r="E289" t="str">
        <f>IF('Clockify Raw'!A289="","",IF(LOWER('Clockify Raw'!A289)="break","Break",IF('Clockify Raw'!C289&lt;&gt;"",'Clockify Raw'!C289,IF('Clockify Raw'!D289&lt;&gt;"",'Clockify Raw'!D289,'Clockify Raw'!A289))))</f>
        <v/>
      </c>
      <c r="F289" s="24" t="str">
        <f>IF('Clockify Raw'!O289="","",'Clockify Raw'!O289/24)</f>
        <v/>
      </c>
      <c r="G289" t="str">
        <f>IF(A289="","",COUNTIFS($A$2:$A$1000,A289,$B$2:$B$1000,"&lt;"&amp;B289)+COUNTIFS($A$2:A289,A289,$B$2:B289,B289))</f>
        <v/>
      </c>
      <c r="H289" t="str">
        <f t="shared" si="4"/>
        <v/>
      </c>
    </row>
    <row r="290" spans="1:8">
      <c r="A290" s="25" t="str">
        <f>IF('Clockify Raw'!J290="","",'Clockify Raw'!J290)</f>
        <v/>
      </c>
      <c r="B290" s="23" t="str">
        <f>IF('Clockify Raw'!K290="","",VALUE('Clockify Raw'!K290))</f>
        <v/>
      </c>
      <c r="C290" s="23" t="str">
        <f>IF('Clockify Raw'!M290="","",VALUE('Clockify Raw'!M290))</f>
        <v/>
      </c>
      <c r="D290" t="str">
        <f>IF('Clockify Raw'!A290="","",IF(LOWER('Clockify Raw'!A290)="break","Break","Work"))</f>
        <v/>
      </c>
      <c r="E290" t="str">
        <f>IF('Clockify Raw'!A290="","",IF(LOWER('Clockify Raw'!A290)="break","Break",IF('Clockify Raw'!C290&lt;&gt;"",'Clockify Raw'!C290,IF('Clockify Raw'!D290&lt;&gt;"",'Clockify Raw'!D290,'Clockify Raw'!A290))))</f>
        <v/>
      </c>
      <c r="F290" s="24" t="str">
        <f>IF('Clockify Raw'!O290="","",'Clockify Raw'!O290/24)</f>
        <v/>
      </c>
      <c r="G290" t="str">
        <f>IF(A290="","",COUNTIFS($A$2:$A$1000,A290,$B$2:$B$1000,"&lt;"&amp;B290)+COUNTIFS($A$2:A290,A290,$B$2:B290,B290))</f>
        <v/>
      </c>
      <c r="H290" t="str">
        <f t="shared" si="4"/>
        <v/>
      </c>
    </row>
    <row r="291" spans="1:8">
      <c r="A291" s="25" t="str">
        <f>IF('Clockify Raw'!J291="","",'Clockify Raw'!J291)</f>
        <v/>
      </c>
      <c r="B291" s="23" t="str">
        <f>IF('Clockify Raw'!K291="","",VALUE('Clockify Raw'!K291))</f>
        <v/>
      </c>
      <c r="C291" s="23" t="str">
        <f>IF('Clockify Raw'!M291="","",VALUE('Clockify Raw'!M291))</f>
        <v/>
      </c>
      <c r="D291" t="str">
        <f>IF('Clockify Raw'!A291="","",IF(LOWER('Clockify Raw'!A291)="break","Break","Work"))</f>
        <v/>
      </c>
      <c r="E291" t="str">
        <f>IF('Clockify Raw'!A291="","",IF(LOWER('Clockify Raw'!A291)="break","Break",IF('Clockify Raw'!C291&lt;&gt;"",'Clockify Raw'!C291,IF('Clockify Raw'!D291&lt;&gt;"",'Clockify Raw'!D291,'Clockify Raw'!A291))))</f>
        <v/>
      </c>
      <c r="F291" s="24" t="str">
        <f>IF('Clockify Raw'!O291="","",'Clockify Raw'!O291/24)</f>
        <v/>
      </c>
      <c r="G291" t="str">
        <f>IF(A291="","",COUNTIFS($A$2:$A$1000,A291,$B$2:$B$1000,"&lt;"&amp;B291)+COUNTIFS($A$2:A291,A291,$B$2:B291,B291))</f>
        <v/>
      </c>
      <c r="H291" t="str">
        <f t="shared" si="4"/>
        <v/>
      </c>
    </row>
    <row r="292" spans="1:8">
      <c r="A292" s="25" t="str">
        <f>IF('Clockify Raw'!J292="","",'Clockify Raw'!J292)</f>
        <v/>
      </c>
      <c r="B292" s="23" t="str">
        <f>IF('Clockify Raw'!K292="","",VALUE('Clockify Raw'!K292))</f>
        <v/>
      </c>
      <c r="C292" s="23" t="str">
        <f>IF('Clockify Raw'!M292="","",VALUE('Clockify Raw'!M292))</f>
        <v/>
      </c>
      <c r="D292" t="str">
        <f>IF('Clockify Raw'!A292="","",IF(LOWER('Clockify Raw'!A292)="break","Break","Work"))</f>
        <v/>
      </c>
      <c r="E292" t="str">
        <f>IF('Clockify Raw'!A292="","",IF(LOWER('Clockify Raw'!A292)="break","Break",IF('Clockify Raw'!C292&lt;&gt;"",'Clockify Raw'!C292,IF('Clockify Raw'!D292&lt;&gt;"",'Clockify Raw'!D292,'Clockify Raw'!A292))))</f>
        <v/>
      </c>
      <c r="F292" s="24" t="str">
        <f>IF('Clockify Raw'!O292="","",'Clockify Raw'!O292/24)</f>
        <v/>
      </c>
      <c r="G292" t="str">
        <f>IF(A292="","",COUNTIFS($A$2:$A$1000,A292,$B$2:$B$1000,"&lt;"&amp;B292)+COUNTIFS($A$2:A292,A292,$B$2:B292,B292))</f>
        <v/>
      </c>
      <c r="H292" t="str">
        <f t="shared" si="4"/>
        <v/>
      </c>
    </row>
    <row r="293" spans="1:8">
      <c r="A293" s="25" t="str">
        <f>IF('Clockify Raw'!J293="","",'Clockify Raw'!J293)</f>
        <v/>
      </c>
      <c r="B293" s="23" t="str">
        <f>IF('Clockify Raw'!K293="","",VALUE('Clockify Raw'!K293))</f>
        <v/>
      </c>
      <c r="C293" s="23" t="str">
        <f>IF('Clockify Raw'!M293="","",VALUE('Clockify Raw'!M293))</f>
        <v/>
      </c>
      <c r="D293" t="str">
        <f>IF('Clockify Raw'!A293="","",IF(LOWER('Clockify Raw'!A293)="break","Break","Work"))</f>
        <v/>
      </c>
      <c r="E293" t="str">
        <f>IF('Clockify Raw'!A293="","",IF(LOWER('Clockify Raw'!A293)="break","Break",IF('Clockify Raw'!C293&lt;&gt;"",'Clockify Raw'!C293,IF('Clockify Raw'!D293&lt;&gt;"",'Clockify Raw'!D293,'Clockify Raw'!A293))))</f>
        <v/>
      </c>
      <c r="F293" s="24" t="str">
        <f>IF('Clockify Raw'!O293="","",'Clockify Raw'!O293/24)</f>
        <v/>
      </c>
      <c r="G293" t="str">
        <f>IF(A293="","",COUNTIFS($A$2:$A$1000,A293,$B$2:$B$1000,"&lt;"&amp;B293)+COUNTIFS($A$2:A293,A293,$B$2:B293,B293))</f>
        <v/>
      </c>
      <c r="H293" t="str">
        <f t="shared" si="4"/>
        <v/>
      </c>
    </row>
    <row r="294" spans="1:8">
      <c r="A294" s="25" t="str">
        <f>IF('Clockify Raw'!J294="","",'Clockify Raw'!J294)</f>
        <v/>
      </c>
      <c r="B294" s="23" t="str">
        <f>IF('Clockify Raw'!K294="","",VALUE('Clockify Raw'!K294))</f>
        <v/>
      </c>
      <c r="C294" s="23" t="str">
        <f>IF('Clockify Raw'!M294="","",VALUE('Clockify Raw'!M294))</f>
        <v/>
      </c>
      <c r="D294" t="str">
        <f>IF('Clockify Raw'!A294="","",IF(LOWER('Clockify Raw'!A294)="break","Break","Work"))</f>
        <v/>
      </c>
      <c r="E294" t="str">
        <f>IF('Clockify Raw'!A294="","",IF(LOWER('Clockify Raw'!A294)="break","Break",IF('Clockify Raw'!C294&lt;&gt;"",'Clockify Raw'!C294,IF('Clockify Raw'!D294&lt;&gt;"",'Clockify Raw'!D294,'Clockify Raw'!A294))))</f>
        <v/>
      </c>
      <c r="F294" s="24" t="str">
        <f>IF('Clockify Raw'!O294="","",'Clockify Raw'!O294/24)</f>
        <v/>
      </c>
      <c r="G294" t="str">
        <f>IF(A294="","",COUNTIFS($A$2:$A$1000,A294,$B$2:$B$1000,"&lt;"&amp;B294)+COUNTIFS($A$2:A294,A294,$B$2:B294,B294))</f>
        <v/>
      </c>
      <c r="H294" t="str">
        <f t="shared" si="4"/>
        <v/>
      </c>
    </row>
    <row r="295" spans="1:8">
      <c r="A295" s="25" t="str">
        <f>IF('Clockify Raw'!J295="","",'Clockify Raw'!J295)</f>
        <v/>
      </c>
      <c r="B295" s="23" t="str">
        <f>IF('Clockify Raw'!K295="","",VALUE('Clockify Raw'!K295))</f>
        <v/>
      </c>
      <c r="C295" s="23" t="str">
        <f>IF('Clockify Raw'!M295="","",VALUE('Clockify Raw'!M295))</f>
        <v/>
      </c>
      <c r="D295" t="str">
        <f>IF('Clockify Raw'!A295="","",IF(LOWER('Clockify Raw'!A295)="break","Break","Work"))</f>
        <v/>
      </c>
      <c r="E295" t="str">
        <f>IF('Clockify Raw'!A295="","",IF(LOWER('Clockify Raw'!A295)="break","Break",IF('Clockify Raw'!C295&lt;&gt;"",'Clockify Raw'!C295,IF('Clockify Raw'!D295&lt;&gt;"",'Clockify Raw'!D295,'Clockify Raw'!A295))))</f>
        <v/>
      </c>
      <c r="F295" s="24" t="str">
        <f>IF('Clockify Raw'!O295="","",'Clockify Raw'!O295/24)</f>
        <v/>
      </c>
      <c r="G295" t="str">
        <f>IF(A295="","",COUNTIFS($A$2:$A$1000,A295,$B$2:$B$1000,"&lt;"&amp;B295)+COUNTIFS($A$2:A295,A295,$B$2:B295,B295))</f>
        <v/>
      </c>
      <c r="H295" t="str">
        <f t="shared" si="4"/>
        <v/>
      </c>
    </row>
    <row r="296" spans="1:8">
      <c r="A296" s="25" t="str">
        <f>IF('Clockify Raw'!J296="","",'Clockify Raw'!J296)</f>
        <v/>
      </c>
      <c r="B296" s="23" t="str">
        <f>IF('Clockify Raw'!K296="","",VALUE('Clockify Raw'!K296))</f>
        <v/>
      </c>
      <c r="C296" s="23" t="str">
        <f>IF('Clockify Raw'!M296="","",VALUE('Clockify Raw'!M296))</f>
        <v/>
      </c>
      <c r="D296" t="str">
        <f>IF('Clockify Raw'!A296="","",IF(LOWER('Clockify Raw'!A296)="break","Break","Work"))</f>
        <v/>
      </c>
      <c r="E296" t="str">
        <f>IF('Clockify Raw'!A296="","",IF(LOWER('Clockify Raw'!A296)="break","Break",IF('Clockify Raw'!C296&lt;&gt;"",'Clockify Raw'!C296,IF('Clockify Raw'!D296&lt;&gt;"",'Clockify Raw'!D296,'Clockify Raw'!A296))))</f>
        <v/>
      </c>
      <c r="F296" s="24" t="str">
        <f>IF('Clockify Raw'!O296="","",'Clockify Raw'!O296/24)</f>
        <v/>
      </c>
      <c r="G296" t="str">
        <f>IF(A296="","",COUNTIFS($A$2:$A$1000,A296,$B$2:$B$1000,"&lt;"&amp;B296)+COUNTIFS($A$2:A296,A296,$B$2:B296,B296))</f>
        <v/>
      </c>
      <c r="H296" t="str">
        <f t="shared" si="4"/>
        <v/>
      </c>
    </row>
    <row r="297" spans="1:8">
      <c r="A297" s="25" t="str">
        <f>IF('Clockify Raw'!J297="","",'Clockify Raw'!J297)</f>
        <v/>
      </c>
      <c r="B297" s="23" t="str">
        <f>IF('Clockify Raw'!K297="","",VALUE('Clockify Raw'!K297))</f>
        <v/>
      </c>
      <c r="C297" s="23" t="str">
        <f>IF('Clockify Raw'!M297="","",VALUE('Clockify Raw'!M297))</f>
        <v/>
      </c>
      <c r="D297" t="str">
        <f>IF('Clockify Raw'!A297="","",IF(LOWER('Clockify Raw'!A297)="break","Break","Work"))</f>
        <v/>
      </c>
      <c r="E297" t="str">
        <f>IF('Clockify Raw'!A297="","",IF(LOWER('Clockify Raw'!A297)="break","Break",IF('Clockify Raw'!C297&lt;&gt;"",'Clockify Raw'!C297,IF('Clockify Raw'!D297&lt;&gt;"",'Clockify Raw'!D297,'Clockify Raw'!A297))))</f>
        <v/>
      </c>
      <c r="F297" s="24" t="str">
        <f>IF('Clockify Raw'!O297="","",'Clockify Raw'!O297/24)</f>
        <v/>
      </c>
      <c r="G297" t="str">
        <f>IF(A297="","",COUNTIFS($A$2:$A$1000,A297,$B$2:$B$1000,"&lt;"&amp;B297)+COUNTIFS($A$2:A297,A297,$B$2:B297,B297))</f>
        <v/>
      </c>
      <c r="H297" t="str">
        <f t="shared" si="4"/>
        <v/>
      </c>
    </row>
    <row r="298" spans="1:8">
      <c r="A298" s="25" t="str">
        <f>IF('Clockify Raw'!J298="","",'Clockify Raw'!J298)</f>
        <v/>
      </c>
      <c r="B298" s="23" t="str">
        <f>IF('Clockify Raw'!K298="","",VALUE('Clockify Raw'!K298))</f>
        <v/>
      </c>
      <c r="C298" s="23" t="str">
        <f>IF('Clockify Raw'!M298="","",VALUE('Clockify Raw'!M298))</f>
        <v/>
      </c>
      <c r="D298" t="str">
        <f>IF('Clockify Raw'!A298="","",IF(LOWER('Clockify Raw'!A298)="break","Break","Work"))</f>
        <v/>
      </c>
      <c r="E298" t="str">
        <f>IF('Clockify Raw'!A298="","",IF(LOWER('Clockify Raw'!A298)="break","Break",IF('Clockify Raw'!C298&lt;&gt;"",'Clockify Raw'!C298,IF('Clockify Raw'!D298&lt;&gt;"",'Clockify Raw'!D298,'Clockify Raw'!A298))))</f>
        <v/>
      </c>
      <c r="F298" s="24" t="str">
        <f>IF('Clockify Raw'!O298="","",'Clockify Raw'!O298/24)</f>
        <v/>
      </c>
      <c r="G298" t="str">
        <f>IF(A298="","",COUNTIFS($A$2:$A$1000,A298,$B$2:$B$1000,"&lt;"&amp;B298)+COUNTIFS($A$2:A298,A298,$B$2:B298,B298))</f>
        <v/>
      </c>
      <c r="H298" t="str">
        <f t="shared" si="4"/>
        <v/>
      </c>
    </row>
    <row r="299" spans="1:8">
      <c r="A299" s="25" t="str">
        <f>IF('Clockify Raw'!J299="","",'Clockify Raw'!J299)</f>
        <v/>
      </c>
      <c r="B299" s="23" t="str">
        <f>IF('Clockify Raw'!K299="","",VALUE('Clockify Raw'!K299))</f>
        <v/>
      </c>
      <c r="C299" s="23" t="str">
        <f>IF('Clockify Raw'!M299="","",VALUE('Clockify Raw'!M299))</f>
        <v/>
      </c>
      <c r="D299" t="str">
        <f>IF('Clockify Raw'!A299="","",IF(LOWER('Clockify Raw'!A299)="break","Break","Work"))</f>
        <v/>
      </c>
      <c r="E299" t="str">
        <f>IF('Clockify Raw'!A299="","",IF(LOWER('Clockify Raw'!A299)="break","Break",IF('Clockify Raw'!C299&lt;&gt;"",'Clockify Raw'!C299,IF('Clockify Raw'!D299&lt;&gt;"",'Clockify Raw'!D299,'Clockify Raw'!A299))))</f>
        <v/>
      </c>
      <c r="F299" s="24" t="str">
        <f>IF('Clockify Raw'!O299="","",'Clockify Raw'!O299/24)</f>
        <v/>
      </c>
      <c r="G299" t="str">
        <f>IF(A299="","",COUNTIFS($A$2:$A$1000,A299,$B$2:$B$1000,"&lt;"&amp;B299)+COUNTIFS($A$2:A299,A299,$B$2:B299,B299))</f>
        <v/>
      </c>
      <c r="H299" t="str">
        <f t="shared" si="4"/>
        <v/>
      </c>
    </row>
    <row r="300" spans="1:8">
      <c r="A300" s="25" t="str">
        <f>IF('Clockify Raw'!J300="","",'Clockify Raw'!J300)</f>
        <v/>
      </c>
      <c r="B300" s="23" t="str">
        <f>IF('Clockify Raw'!K300="","",VALUE('Clockify Raw'!K300))</f>
        <v/>
      </c>
      <c r="C300" s="23" t="str">
        <f>IF('Clockify Raw'!M300="","",VALUE('Clockify Raw'!M300))</f>
        <v/>
      </c>
      <c r="D300" t="str">
        <f>IF('Clockify Raw'!A300="","",IF(LOWER('Clockify Raw'!A300)="break","Break","Work"))</f>
        <v/>
      </c>
      <c r="E300" t="str">
        <f>IF('Clockify Raw'!A300="","",IF(LOWER('Clockify Raw'!A300)="break","Break",IF('Clockify Raw'!C300&lt;&gt;"",'Clockify Raw'!C300,IF('Clockify Raw'!D300&lt;&gt;"",'Clockify Raw'!D300,'Clockify Raw'!A300))))</f>
        <v/>
      </c>
      <c r="F300" s="24" t="str">
        <f>IF('Clockify Raw'!O300="","",'Clockify Raw'!O300/24)</f>
        <v/>
      </c>
      <c r="G300" t="str">
        <f>IF(A300="","",COUNTIFS($A$2:$A$1000,A300,$B$2:$B$1000,"&lt;"&amp;B300)+COUNTIFS($A$2:A300,A300,$B$2:B300,B300))</f>
        <v/>
      </c>
      <c r="H300" t="str">
        <f t="shared" si="4"/>
        <v/>
      </c>
    </row>
    <row r="301" spans="1:8">
      <c r="A301" s="25" t="str">
        <f>IF('Clockify Raw'!J301="","",'Clockify Raw'!J301)</f>
        <v/>
      </c>
      <c r="B301" s="23" t="str">
        <f>IF('Clockify Raw'!K301="","",VALUE('Clockify Raw'!K301))</f>
        <v/>
      </c>
      <c r="C301" s="23" t="str">
        <f>IF('Clockify Raw'!M301="","",VALUE('Clockify Raw'!M301))</f>
        <v/>
      </c>
      <c r="D301" t="str">
        <f>IF('Clockify Raw'!A301="","",IF(LOWER('Clockify Raw'!A301)="break","Break","Work"))</f>
        <v/>
      </c>
      <c r="E301" t="str">
        <f>IF('Clockify Raw'!A301="","",IF(LOWER('Clockify Raw'!A301)="break","Break",IF('Clockify Raw'!C301&lt;&gt;"",'Clockify Raw'!C301,IF('Clockify Raw'!D301&lt;&gt;"",'Clockify Raw'!D301,'Clockify Raw'!A301))))</f>
        <v/>
      </c>
      <c r="F301" s="24" t="str">
        <f>IF('Clockify Raw'!O301="","",'Clockify Raw'!O301/24)</f>
        <v/>
      </c>
      <c r="G301" t="str">
        <f>IF(A301="","",COUNTIFS($A$2:$A$1000,A301,$B$2:$B$1000,"&lt;"&amp;B301)+COUNTIFS($A$2:A301,A301,$B$2:B301,B301))</f>
        <v/>
      </c>
      <c r="H301" t="str">
        <f t="shared" si="4"/>
        <v/>
      </c>
    </row>
    <row r="302" spans="1:8">
      <c r="A302" s="25" t="str">
        <f>IF('Clockify Raw'!J302="","",'Clockify Raw'!J302)</f>
        <v/>
      </c>
      <c r="B302" s="23" t="str">
        <f>IF('Clockify Raw'!K302="","",VALUE('Clockify Raw'!K302))</f>
        <v/>
      </c>
      <c r="C302" s="23" t="str">
        <f>IF('Clockify Raw'!M302="","",VALUE('Clockify Raw'!M302))</f>
        <v/>
      </c>
      <c r="D302" t="str">
        <f>IF('Clockify Raw'!A302="","",IF(LOWER('Clockify Raw'!A302)="break","Break","Work"))</f>
        <v/>
      </c>
      <c r="E302" t="str">
        <f>IF('Clockify Raw'!A302="","",IF(LOWER('Clockify Raw'!A302)="break","Break",IF('Clockify Raw'!C302&lt;&gt;"",'Clockify Raw'!C302,IF('Clockify Raw'!D302&lt;&gt;"",'Clockify Raw'!D302,'Clockify Raw'!A302))))</f>
        <v/>
      </c>
      <c r="F302" s="24" t="str">
        <f>IF('Clockify Raw'!O302="","",'Clockify Raw'!O302/24)</f>
        <v/>
      </c>
      <c r="G302" t="str">
        <f>IF(A302="","",COUNTIFS($A$2:$A$1000,A302,$B$2:$B$1000,"&lt;"&amp;B302)+COUNTIFS($A$2:A302,A302,$B$2:B302,B302))</f>
        <v/>
      </c>
      <c r="H302" t="str">
        <f t="shared" si="4"/>
        <v/>
      </c>
    </row>
    <row r="303" spans="1:8">
      <c r="A303" s="25" t="str">
        <f>IF('Clockify Raw'!J303="","",'Clockify Raw'!J303)</f>
        <v/>
      </c>
      <c r="B303" s="23" t="str">
        <f>IF('Clockify Raw'!K303="","",VALUE('Clockify Raw'!K303))</f>
        <v/>
      </c>
      <c r="C303" s="23" t="str">
        <f>IF('Clockify Raw'!M303="","",VALUE('Clockify Raw'!M303))</f>
        <v/>
      </c>
      <c r="D303" t="str">
        <f>IF('Clockify Raw'!A303="","",IF(LOWER('Clockify Raw'!A303)="break","Break","Work"))</f>
        <v/>
      </c>
      <c r="E303" t="str">
        <f>IF('Clockify Raw'!A303="","",IF(LOWER('Clockify Raw'!A303)="break","Break",IF('Clockify Raw'!C303&lt;&gt;"",'Clockify Raw'!C303,IF('Clockify Raw'!D303&lt;&gt;"",'Clockify Raw'!D303,'Clockify Raw'!A303))))</f>
        <v/>
      </c>
      <c r="F303" s="24" t="str">
        <f>IF('Clockify Raw'!O303="","",'Clockify Raw'!O303/24)</f>
        <v/>
      </c>
      <c r="G303" t="str">
        <f>IF(A303="","",COUNTIFS($A$2:$A$1000,A303,$B$2:$B$1000,"&lt;"&amp;B303)+COUNTIFS($A$2:A303,A303,$B$2:B303,B303))</f>
        <v/>
      </c>
      <c r="H303" t="str">
        <f t="shared" si="4"/>
        <v/>
      </c>
    </row>
    <row r="304" spans="1:8">
      <c r="A304" s="25" t="str">
        <f>IF('Clockify Raw'!J304="","",'Clockify Raw'!J304)</f>
        <v/>
      </c>
      <c r="B304" s="23" t="str">
        <f>IF('Clockify Raw'!K304="","",VALUE('Clockify Raw'!K304))</f>
        <v/>
      </c>
      <c r="C304" s="23" t="str">
        <f>IF('Clockify Raw'!M304="","",VALUE('Clockify Raw'!M304))</f>
        <v/>
      </c>
      <c r="D304" t="str">
        <f>IF('Clockify Raw'!A304="","",IF(LOWER('Clockify Raw'!A304)="break","Break","Work"))</f>
        <v/>
      </c>
      <c r="E304" t="str">
        <f>IF('Clockify Raw'!A304="","",IF(LOWER('Clockify Raw'!A304)="break","Break",IF('Clockify Raw'!C304&lt;&gt;"",'Clockify Raw'!C304,IF('Clockify Raw'!D304&lt;&gt;"",'Clockify Raw'!D304,'Clockify Raw'!A304))))</f>
        <v/>
      </c>
      <c r="F304" s="24" t="str">
        <f>IF('Clockify Raw'!O304="","",'Clockify Raw'!O304/24)</f>
        <v/>
      </c>
      <c r="G304" t="str">
        <f>IF(A304="","",COUNTIFS($A$2:$A$1000,A304,$B$2:$B$1000,"&lt;"&amp;B304)+COUNTIFS($A$2:A304,A304,$B$2:B304,B304))</f>
        <v/>
      </c>
      <c r="H304" t="str">
        <f t="shared" si="4"/>
        <v/>
      </c>
    </row>
    <row r="305" spans="1:8">
      <c r="A305" s="25" t="str">
        <f>IF('Clockify Raw'!J305="","",'Clockify Raw'!J305)</f>
        <v/>
      </c>
      <c r="B305" s="23" t="str">
        <f>IF('Clockify Raw'!K305="","",VALUE('Clockify Raw'!K305))</f>
        <v/>
      </c>
      <c r="C305" s="23" t="str">
        <f>IF('Clockify Raw'!M305="","",VALUE('Clockify Raw'!M305))</f>
        <v/>
      </c>
      <c r="D305" t="str">
        <f>IF('Clockify Raw'!A305="","",IF(LOWER('Clockify Raw'!A305)="break","Break","Work"))</f>
        <v/>
      </c>
      <c r="E305" t="str">
        <f>IF('Clockify Raw'!A305="","",IF(LOWER('Clockify Raw'!A305)="break","Break",IF('Clockify Raw'!C305&lt;&gt;"",'Clockify Raw'!C305,IF('Clockify Raw'!D305&lt;&gt;"",'Clockify Raw'!D305,'Clockify Raw'!A305))))</f>
        <v/>
      </c>
      <c r="F305" s="24" t="str">
        <f>IF('Clockify Raw'!O305="","",'Clockify Raw'!O305/24)</f>
        <v/>
      </c>
      <c r="G305" t="str">
        <f>IF(A305="","",COUNTIFS($A$2:$A$1000,A305,$B$2:$B$1000,"&lt;"&amp;B305)+COUNTIFS($A$2:A305,A305,$B$2:B305,B305))</f>
        <v/>
      </c>
      <c r="H305" t="str">
        <f t="shared" si="4"/>
        <v/>
      </c>
    </row>
    <row r="306" spans="1:8">
      <c r="A306" s="25" t="str">
        <f>IF('Clockify Raw'!J306="","",'Clockify Raw'!J306)</f>
        <v/>
      </c>
      <c r="B306" s="23" t="str">
        <f>IF('Clockify Raw'!K306="","",VALUE('Clockify Raw'!K306))</f>
        <v/>
      </c>
      <c r="C306" s="23" t="str">
        <f>IF('Clockify Raw'!M306="","",VALUE('Clockify Raw'!M306))</f>
        <v/>
      </c>
      <c r="D306" t="str">
        <f>IF('Clockify Raw'!A306="","",IF(LOWER('Clockify Raw'!A306)="break","Break","Work"))</f>
        <v/>
      </c>
      <c r="E306" t="str">
        <f>IF('Clockify Raw'!A306="","",IF(LOWER('Clockify Raw'!A306)="break","Break",IF('Clockify Raw'!C306&lt;&gt;"",'Clockify Raw'!C306,IF('Clockify Raw'!D306&lt;&gt;"",'Clockify Raw'!D306,'Clockify Raw'!A306))))</f>
        <v/>
      </c>
      <c r="F306" s="24" t="str">
        <f>IF('Clockify Raw'!O306="","",'Clockify Raw'!O306/24)</f>
        <v/>
      </c>
      <c r="G306" t="str">
        <f>IF(A306="","",COUNTIFS($A$2:$A$1000,A306,$B$2:$B$1000,"&lt;"&amp;B306)+COUNTIFS($A$2:A306,A306,$B$2:B306,B306))</f>
        <v/>
      </c>
      <c r="H306" t="str">
        <f t="shared" si="4"/>
        <v/>
      </c>
    </row>
    <row r="307" spans="1:8">
      <c r="A307" s="25" t="str">
        <f>IF('Clockify Raw'!J307="","",'Clockify Raw'!J307)</f>
        <v/>
      </c>
      <c r="B307" s="23" t="str">
        <f>IF('Clockify Raw'!K307="","",VALUE('Clockify Raw'!K307))</f>
        <v/>
      </c>
      <c r="C307" s="23" t="str">
        <f>IF('Clockify Raw'!M307="","",VALUE('Clockify Raw'!M307))</f>
        <v/>
      </c>
      <c r="D307" t="str">
        <f>IF('Clockify Raw'!A307="","",IF(LOWER('Clockify Raw'!A307)="break","Break","Work"))</f>
        <v/>
      </c>
      <c r="E307" t="str">
        <f>IF('Clockify Raw'!A307="","",IF(LOWER('Clockify Raw'!A307)="break","Break",IF('Clockify Raw'!C307&lt;&gt;"",'Clockify Raw'!C307,IF('Clockify Raw'!D307&lt;&gt;"",'Clockify Raw'!D307,'Clockify Raw'!A307))))</f>
        <v/>
      </c>
      <c r="F307" s="24" t="str">
        <f>IF('Clockify Raw'!O307="","",'Clockify Raw'!O307/24)</f>
        <v/>
      </c>
      <c r="G307" t="str">
        <f>IF(A307="","",COUNTIFS($A$2:$A$1000,A307,$B$2:$B$1000,"&lt;"&amp;B307)+COUNTIFS($A$2:A307,A307,$B$2:B307,B307))</f>
        <v/>
      </c>
      <c r="H307" t="str">
        <f t="shared" si="4"/>
        <v/>
      </c>
    </row>
    <row r="308" spans="1:8">
      <c r="A308" s="25" t="str">
        <f>IF('Clockify Raw'!J308="","",'Clockify Raw'!J308)</f>
        <v/>
      </c>
      <c r="B308" s="23" t="str">
        <f>IF('Clockify Raw'!K308="","",VALUE('Clockify Raw'!K308))</f>
        <v/>
      </c>
      <c r="C308" s="23" t="str">
        <f>IF('Clockify Raw'!M308="","",VALUE('Clockify Raw'!M308))</f>
        <v/>
      </c>
      <c r="D308" t="str">
        <f>IF('Clockify Raw'!A308="","",IF(LOWER('Clockify Raw'!A308)="break","Break","Work"))</f>
        <v/>
      </c>
      <c r="E308" t="str">
        <f>IF('Clockify Raw'!A308="","",IF(LOWER('Clockify Raw'!A308)="break","Break",IF('Clockify Raw'!C308&lt;&gt;"",'Clockify Raw'!C308,IF('Clockify Raw'!D308&lt;&gt;"",'Clockify Raw'!D308,'Clockify Raw'!A308))))</f>
        <v/>
      </c>
      <c r="F308" s="24" t="str">
        <f>IF('Clockify Raw'!O308="","",'Clockify Raw'!O308/24)</f>
        <v/>
      </c>
      <c r="G308" t="str">
        <f>IF(A308="","",COUNTIFS($A$2:$A$1000,A308,$B$2:$B$1000,"&lt;"&amp;B308)+COUNTIFS($A$2:A308,A308,$B$2:B308,B308))</f>
        <v/>
      </c>
      <c r="H308" t="str">
        <f t="shared" si="4"/>
        <v/>
      </c>
    </row>
    <row r="309" spans="1:8">
      <c r="A309" s="25" t="str">
        <f>IF('Clockify Raw'!J309="","",'Clockify Raw'!J309)</f>
        <v/>
      </c>
      <c r="B309" s="23" t="str">
        <f>IF('Clockify Raw'!K309="","",VALUE('Clockify Raw'!K309))</f>
        <v/>
      </c>
      <c r="C309" s="23" t="str">
        <f>IF('Clockify Raw'!M309="","",VALUE('Clockify Raw'!M309))</f>
        <v/>
      </c>
      <c r="D309" t="str">
        <f>IF('Clockify Raw'!A309="","",IF(LOWER('Clockify Raw'!A309)="break","Break","Work"))</f>
        <v/>
      </c>
      <c r="E309" t="str">
        <f>IF('Clockify Raw'!A309="","",IF(LOWER('Clockify Raw'!A309)="break","Break",IF('Clockify Raw'!C309&lt;&gt;"",'Clockify Raw'!C309,IF('Clockify Raw'!D309&lt;&gt;"",'Clockify Raw'!D309,'Clockify Raw'!A309))))</f>
        <v/>
      </c>
      <c r="F309" s="24" t="str">
        <f>IF('Clockify Raw'!O309="","",'Clockify Raw'!O309/24)</f>
        <v/>
      </c>
      <c r="G309" t="str">
        <f>IF(A309="","",COUNTIFS($A$2:$A$1000,A309,$B$2:$B$1000,"&lt;"&amp;B309)+COUNTIFS($A$2:A309,A309,$B$2:B309,B309))</f>
        <v/>
      </c>
      <c r="H309" t="str">
        <f t="shared" si="4"/>
        <v/>
      </c>
    </row>
    <row r="310" spans="1:8">
      <c r="A310" s="25" t="str">
        <f>IF('Clockify Raw'!J310="","",'Clockify Raw'!J310)</f>
        <v/>
      </c>
      <c r="B310" s="23" t="str">
        <f>IF('Clockify Raw'!K310="","",VALUE('Clockify Raw'!K310))</f>
        <v/>
      </c>
      <c r="C310" s="23" t="str">
        <f>IF('Clockify Raw'!M310="","",VALUE('Clockify Raw'!M310))</f>
        <v/>
      </c>
      <c r="D310" t="str">
        <f>IF('Clockify Raw'!A310="","",IF(LOWER('Clockify Raw'!A310)="break","Break","Work"))</f>
        <v/>
      </c>
      <c r="E310" t="str">
        <f>IF('Clockify Raw'!A310="","",IF(LOWER('Clockify Raw'!A310)="break","Break",IF('Clockify Raw'!C310&lt;&gt;"",'Clockify Raw'!C310,IF('Clockify Raw'!D310&lt;&gt;"",'Clockify Raw'!D310,'Clockify Raw'!A310))))</f>
        <v/>
      </c>
      <c r="F310" s="24" t="str">
        <f>IF('Clockify Raw'!O310="","",'Clockify Raw'!O310/24)</f>
        <v/>
      </c>
      <c r="G310" t="str">
        <f>IF(A310="","",COUNTIFS($A$2:$A$1000,A310,$B$2:$B$1000,"&lt;"&amp;B310)+COUNTIFS($A$2:A310,A310,$B$2:B310,B310))</f>
        <v/>
      </c>
      <c r="H310" t="str">
        <f t="shared" si="4"/>
        <v/>
      </c>
    </row>
    <row r="311" spans="1:8">
      <c r="A311" s="25" t="str">
        <f>IF('Clockify Raw'!J311="","",'Clockify Raw'!J311)</f>
        <v/>
      </c>
      <c r="B311" s="23" t="str">
        <f>IF('Clockify Raw'!K311="","",VALUE('Clockify Raw'!K311))</f>
        <v/>
      </c>
      <c r="C311" s="23" t="str">
        <f>IF('Clockify Raw'!M311="","",VALUE('Clockify Raw'!M311))</f>
        <v/>
      </c>
      <c r="D311" t="str">
        <f>IF('Clockify Raw'!A311="","",IF(LOWER('Clockify Raw'!A311)="break","Break","Work"))</f>
        <v/>
      </c>
      <c r="E311" t="str">
        <f>IF('Clockify Raw'!A311="","",IF(LOWER('Clockify Raw'!A311)="break","Break",IF('Clockify Raw'!C311&lt;&gt;"",'Clockify Raw'!C311,IF('Clockify Raw'!D311&lt;&gt;"",'Clockify Raw'!D311,'Clockify Raw'!A311))))</f>
        <v/>
      </c>
      <c r="F311" s="24" t="str">
        <f>IF('Clockify Raw'!O311="","",'Clockify Raw'!O311/24)</f>
        <v/>
      </c>
      <c r="G311" t="str">
        <f>IF(A311="","",COUNTIFS($A$2:$A$1000,A311,$B$2:$B$1000,"&lt;"&amp;B311)+COUNTIFS($A$2:A311,A311,$B$2:B311,B311))</f>
        <v/>
      </c>
      <c r="H311" t="str">
        <f t="shared" si="4"/>
        <v/>
      </c>
    </row>
    <row r="312" spans="1:8">
      <c r="A312" s="25" t="str">
        <f>IF('Clockify Raw'!J312="","",'Clockify Raw'!J312)</f>
        <v/>
      </c>
      <c r="B312" s="23" t="str">
        <f>IF('Clockify Raw'!K312="","",VALUE('Clockify Raw'!K312))</f>
        <v/>
      </c>
      <c r="C312" s="23" t="str">
        <f>IF('Clockify Raw'!M312="","",VALUE('Clockify Raw'!M312))</f>
        <v/>
      </c>
      <c r="D312" t="str">
        <f>IF('Clockify Raw'!A312="","",IF(LOWER('Clockify Raw'!A312)="break","Break","Work"))</f>
        <v/>
      </c>
      <c r="E312" t="str">
        <f>IF('Clockify Raw'!A312="","",IF(LOWER('Clockify Raw'!A312)="break","Break",IF('Clockify Raw'!C312&lt;&gt;"",'Clockify Raw'!C312,IF('Clockify Raw'!D312&lt;&gt;"",'Clockify Raw'!D312,'Clockify Raw'!A312))))</f>
        <v/>
      </c>
      <c r="F312" s="24" t="str">
        <f>IF('Clockify Raw'!O312="","",'Clockify Raw'!O312/24)</f>
        <v/>
      </c>
      <c r="G312" t="str">
        <f>IF(A312="","",COUNTIFS($A$2:$A$1000,A312,$B$2:$B$1000,"&lt;"&amp;B312)+COUNTIFS($A$2:A312,A312,$B$2:B312,B312))</f>
        <v/>
      </c>
      <c r="H312" t="str">
        <f t="shared" si="4"/>
        <v/>
      </c>
    </row>
    <row r="313" spans="1:8">
      <c r="A313" s="25" t="str">
        <f>IF('Clockify Raw'!J313="","",'Clockify Raw'!J313)</f>
        <v/>
      </c>
      <c r="B313" s="23" t="str">
        <f>IF('Clockify Raw'!K313="","",VALUE('Clockify Raw'!K313))</f>
        <v/>
      </c>
      <c r="C313" s="23" t="str">
        <f>IF('Clockify Raw'!M313="","",VALUE('Clockify Raw'!M313))</f>
        <v/>
      </c>
      <c r="D313" t="str">
        <f>IF('Clockify Raw'!A313="","",IF(LOWER('Clockify Raw'!A313)="break","Break","Work"))</f>
        <v/>
      </c>
      <c r="E313" t="str">
        <f>IF('Clockify Raw'!A313="","",IF(LOWER('Clockify Raw'!A313)="break","Break",IF('Clockify Raw'!C313&lt;&gt;"",'Clockify Raw'!C313,IF('Clockify Raw'!D313&lt;&gt;"",'Clockify Raw'!D313,'Clockify Raw'!A313))))</f>
        <v/>
      </c>
      <c r="F313" s="24" t="str">
        <f>IF('Clockify Raw'!O313="","",'Clockify Raw'!O313/24)</f>
        <v/>
      </c>
      <c r="G313" t="str">
        <f>IF(A313="","",COUNTIFS($A$2:$A$1000,A313,$B$2:$B$1000,"&lt;"&amp;B313)+COUNTIFS($A$2:A313,A313,$B$2:B313,B313))</f>
        <v/>
      </c>
      <c r="H313" t="str">
        <f t="shared" si="4"/>
        <v/>
      </c>
    </row>
    <row r="314" spans="1:8">
      <c r="A314" s="25" t="str">
        <f>IF('Clockify Raw'!J314="","",'Clockify Raw'!J314)</f>
        <v/>
      </c>
      <c r="B314" s="23" t="str">
        <f>IF('Clockify Raw'!K314="","",VALUE('Clockify Raw'!K314))</f>
        <v/>
      </c>
      <c r="C314" s="23" t="str">
        <f>IF('Clockify Raw'!M314="","",VALUE('Clockify Raw'!M314))</f>
        <v/>
      </c>
      <c r="D314" t="str">
        <f>IF('Clockify Raw'!A314="","",IF(LOWER('Clockify Raw'!A314)="break","Break","Work"))</f>
        <v/>
      </c>
      <c r="E314" t="str">
        <f>IF('Clockify Raw'!A314="","",IF(LOWER('Clockify Raw'!A314)="break","Break",IF('Clockify Raw'!C314&lt;&gt;"",'Clockify Raw'!C314,IF('Clockify Raw'!D314&lt;&gt;"",'Clockify Raw'!D314,'Clockify Raw'!A314))))</f>
        <v/>
      </c>
      <c r="F314" s="24" t="str">
        <f>IF('Clockify Raw'!O314="","",'Clockify Raw'!O314/24)</f>
        <v/>
      </c>
      <c r="G314" t="str">
        <f>IF(A314="","",COUNTIFS($A$2:$A$1000,A314,$B$2:$B$1000,"&lt;"&amp;B314)+COUNTIFS($A$2:A314,A314,$B$2:B314,B314))</f>
        <v/>
      </c>
      <c r="H314" t="str">
        <f t="shared" si="4"/>
        <v/>
      </c>
    </row>
    <row r="315" spans="1:8">
      <c r="A315" s="25" t="str">
        <f>IF('Clockify Raw'!J315="","",'Clockify Raw'!J315)</f>
        <v/>
      </c>
      <c r="B315" s="23" t="str">
        <f>IF('Clockify Raw'!K315="","",VALUE('Clockify Raw'!K315))</f>
        <v/>
      </c>
      <c r="C315" s="23" t="str">
        <f>IF('Clockify Raw'!M315="","",VALUE('Clockify Raw'!M315))</f>
        <v/>
      </c>
      <c r="D315" t="str">
        <f>IF('Clockify Raw'!A315="","",IF(LOWER('Clockify Raw'!A315)="break","Break","Work"))</f>
        <v/>
      </c>
      <c r="E315" t="str">
        <f>IF('Clockify Raw'!A315="","",IF(LOWER('Clockify Raw'!A315)="break","Break",IF('Clockify Raw'!C315&lt;&gt;"",'Clockify Raw'!C315,IF('Clockify Raw'!D315&lt;&gt;"",'Clockify Raw'!D315,'Clockify Raw'!A315))))</f>
        <v/>
      </c>
      <c r="F315" s="24" t="str">
        <f>IF('Clockify Raw'!O315="","",'Clockify Raw'!O315/24)</f>
        <v/>
      </c>
      <c r="G315" t="str">
        <f>IF(A315="","",COUNTIFS($A$2:$A$1000,A315,$B$2:$B$1000,"&lt;"&amp;B315)+COUNTIFS($A$2:A315,A315,$B$2:B315,B315))</f>
        <v/>
      </c>
      <c r="H315" t="str">
        <f t="shared" si="4"/>
        <v/>
      </c>
    </row>
    <row r="316" spans="1:8">
      <c r="A316" s="25" t="str">
        <f>IF('Clockify Raw'!J316="","",'Clockify Raw'!J316)</f>
        <v/>
      </c>
      <c r="B316" s="23" t="str">
        <f>IF('Clockify Raw'!K316="","",VALUE('Clockify Raw'!K316))</f>
        <v/>
      </c>
      <c r="C316" s="23" t="str">
        <f>IF('Clockify Raw'!M316="","",VALUE('Clockify Raw'!M316))</f>
        <v/>
      </c>
      <c r="D316" t="str">
        <f>IF('Clockify Raw'!A316="","",IF(LOWER('Clockify Raw'!A316)="break","Break","Work"))</f>
        <v/>
      </c>
      <c r="E316" t="str">
        <f>IF('Clockify Raw'!A316="","",IF(LOWER('Clockify Raw'!A316)="break","Break",IF('Clockify Raw'!C316&lt;&gt;"",'Clockify Raw'!C316,IF('Clockify Raw'!D316&lt;&gt;"",'Clockify Raw'!D316,'Clockify Raw'!A316))))</f>
        <v/>
      </c>
      <c r="F316" s="24" t="str">
        <f>IF('Clockify Raw'!O316="","",'Clockify Raw'!O316/24)</f>
        <v/>
      </c>
      <c r="G316" t="str">
        <f>IF(A316="","",COUNTIFS($A$2:$A$1000,A316,$B$2:$B$1000,"&lt;"&amp;B316)+COUNTIFS($A$2:A316,A316,$B$2:B316,B316))</f>
        <v/>
      </c>
      <c r="H316" t="str">
        <f t="shared" si="4"/>
        <v/>
      </c>
    </row>
    <row r="317" spans="1:8">
      <c r="A317" s="25" t="str">
        <f>IF('Clockify Raw'!J317="","",'Clockify Raw'!J317)</f>
        <v/>
      </c>
      <c r="B317" s="23" t="str">
        <f>IF('Clockify Raw'!K317="","",VALUE('Clockify Raw'!K317))</f>
        <v/>
      </c>
      <c r="C317" s="23" t="str">
        <f>IF('Clockify Raw'!M317="","",VALUE('Clockify Raw'!M317))</f>
        <v/>
      </c>
      <c r="D317" t="str">
        <f>IF('Clockify Raw'!A317="","",IF(LOWER('Clockify Raw'!A317)="break","Break","Work"))</f>
        <v/>
      </c>
      <c r="E317" t="str">
        <f>IF('Clockify Raw'!A317="","",IF(LOWER('Clockify Raw'!A317)="break","Break",IF('Clockify Raw'!C317&lt;&gt;"",'Clockify Raw'!C317,IF('Clockify Raw'!D317&lt;&gt;"",'Clockify Raw'!D317,'Clockify Raw'!A317))))</f>
        <v/>
      </c>
      <c r="F317" s="24" t="str">
        <f>IF('Clockify Raw'!O317="","",'Clockify Raw'!O317/24)</f>
        <v/>
      </c>
      <c r="G317" t="str">
        <f>IF(A317="","",COUNTIFS($A$2:$A$1000,A317,$B$2:$B$1000,"&lt;"&amp;B317)+COUNTIFS($A$2:A317,A317,$B$2:B317,B317))</f>
        <v/>
      </c>
      <c r="H317" t="str">
        <f t="shared" si="4"/>
        <v/>
      </c>
    </row>
    <row r="318" spans="1:8">
      <c r="A318" s="25" t="str">
        <f>IF('Clockify Raw'!J318="","",'Clockify Raw'!J318)</f>
        <v/>
      </c>
      <c r="B318" s="23" t="str">
        <f>IF('Clockify Raw'!K318="","",VALUE('Clockify Raw'!K318))</f>
        <v/>
      </c>
      <c r="C318" s="23" t="str">
        <f>IF('Clockify Raw'!M318="","",VALUE('Clockify Raw'!M318))</f>
        <v/>
      </c>
      <c r="D318" t="str">
        <f>IF('Clockify Raw'!A318="","",IF(LOWER('Clockify Raw'!A318)="break","Break","Work"))</f>
        <v/>
      </c>
      <c r="E318" t="str">
        <f>IF('Clockify Raw'!A318="","",IF(LOWER('Clockify Raw'!A318)="break","Break",IF('Clockify Raw'!C318&lt;&gt;"",'Clockify Raw'!C318,IF('Clockify Raw'!D318&lt;&gt;"",'Clockify Raw'!D318,'Clockify Raw'!A318))))</f>
        <v/>
      </c>
      <c r="F318" s="24" t="str">
        <f>IF('Clockify Raw'!O318="","",'Clockify Raw'!O318/24)</f>
        <v/>
      </c>
      <c r="G318" t="str">
        <f>IF(A318="","",COUNTIFS($A$2:$A$1000,A318,$B$2:$B$1000,"&lt;"&amp;B318)+COUNTIFS($A$2:A318,A318,$B$2:B318,B318))</f>
        <v/>
      </c>
      <c r="H318" t="str">
        <f t="shared" si="4"/>
        <v/>
      </c>
    </row>
    <row r="319" spans="1:8">
      <c r="A319" s="25" t="str">
        <f>IF('Clockify Raw'!J319="","",'Clockify Raw'!J319)</f>
        <v/>
      </c>
      <c r="B319" s="23" t="str">
        <f>IF('Clockify Raw'!K319="","",VALUE('Clockify Raw'!K319))</f>
        <v/>
      </c>
      <c r="C319" s="23" t="str">
        <f>IF('Clockify Raw'!M319="","",VALUE('Clockify Raw'!M319))</f>
        <v/>
      </c>
      <c r="D319" t="str">
        <f>IF('Clockify Raw'!A319="","",IF(LOWER('Clockify Raw'!A319)="break","Break","Work"))</f>
        <v/>
      </c>
      <c r="E319" t="str">
        <f>IF('Clockify Raw'!A319="","",IF(LOWER('Clockify Raw'!A319)="break","Break",IF('Clockify Raw'!C319&lt;&gt;"",'Clockify Raw'!C319,IF('Clockify Raw'!D319&lt;&gt;"",'Clockify Raw'!D319,'Clockify Raw'!A319))))</f>
        <v/>
      </c>
      <c r="F319" s="24" t="str">
        <f>IF('Clockify Raw'!O319="","",'Clockify Raw'!O319/24)</f>
        <v/>
      </c>
      <c r="G319" t="str">
        <f>IF(A319="","",COUNTIFS($A$2:$A$1000,A319,$B$2:$B$1000,"&lt;"&amp;B319)+COUNTIFS($A$2:A319,A319,$B$2:B319,B319))</f>
        <v/>
      </c>
      <c r="H319" t="str">
        <f t="shared" si="4"/>
        <v/>
      </c>
    </row>
    <row r="320" spans="1:8">
      <c r="A320" s="25" t="str">
        <f>IF('Clockify Raw'!J320="","",'Clockify Raw'!J320)</f>
        <v/>
      </c>
      <c r="B320" s="23" t="str">
        <f>IF('Clockify Raw'!K320="","",VALUE('Clockify Raw'!K320))</f>
        <v/>
      </c>
      <c r="C320" s="23" t="str">
        <f>IF('Clockify Raw'!M320="","",VALUE('Clockify Raw'!M320))</f>
        <v/>
      </c>
      <c r="D320" t="str">
        <f>IF('Clockify Raw'!A320="","",IF(LOWER('Clockify Raw'!A320)="break","Break","Work"))</f>
        <v/>
      </c>
      <c r="E320" t="str">
        <f>IF('Clockify Raw'!A320="","",IF(LOWER('Clockify Raw'!A320)="break","Break",IF('Clockify Raw'!C320&lt;&gt;"",'Clockify Raw'!C320,IF('Clockify Raw'!D320&lt;&gt;"",'Clockify Raw'!D320,'Clockify Raw'!A320))))</f>
        <v/>
      </c>
      <c r="F320" s="24" t="str">
        <f>IF('Clockify Raw'!O320="","",'Clockify Raw'!O320/24)</f>
        <v/>
      </c>
      <c r="G320" t="str">
        <f>IF(A320="","",COUNTIFS($A$2:$A$1000,A320,$B$2:$B$1000,"&lt;"&amp;B320)+COUNTIFS($A$2:A320,A320,$B$2:B320,B320))</f>
        <v/>
      </c>
      <c r="H320" t="str">
        <f t="shared" si="4"/>
        <v/>
      </c>
    </row>
    <row r="321" spans="1:8">
      <c r="A321" s="25" t="str">
        <f>IF('Clockify Raw'!J321="","",'Clockify Raw'!J321)</f>
        <v/>
      </c>
      <c r="B321" s="23" t="str">
        <f>IF('Clockify Raw'!K321="","",VALUE('Clockify Raw'!K321))</f>
        <v/>
      </c>
      <c r="C321" s="23" t="str">
        <f>IF('Clockify Raw'!M321="","",VALUE('Clockify Raw'!M321))</f>
        <v/>
      </c>
      <c r="D321" t="str">
        <f>IF('Clockify Raw'!A321="","",IF(LOWER('Clockify Raw'!A321)="break","Break","Work"))</f>
        <v/>
      </c>
      <c r="E321" t="str">
        <f>IF('Clockify Raw'!A321="","",IF(LOWER('Clockify Raw'!A321)="break","Break",IF('Clockify Raw'!C321&lt;&gt;"",'Clockify Raw'!C321,IF('Clockify Raw'!D321&lt;&gt;"",'Clockify Raw'!D321,'Clockify Raw'!A321))))</f>
        <v/>
      </c>
      <c r="F321" s="24" t="str">
        <f>IF('Clockify Raw'!O321="","",'Clockify Raw'!O321/24)</f>
        <v/>
      </c>
      <c r="G321" t="str">
        <f>IF(A321="","",COUNTIFS($A$2:$A$1000,A321,$B$2:$B$1000,"&lt;"&amp;B321)+COUNTIFS($A$2:A321,A321,$B$2:B321,B321))</f>
        <v/>
      </c>
      <c r="H321" t="str">
        <f t="shared" si="4"/>
        <v/>
      </c>
    </row>
    <row r="322" spans="1:8">
      <c r="A322" s="25" t="str">
        <f>IF('Clockify Raw'!J322="","",'Clockify Raw'!J322)</f>
        <v/>
      </c>
      <c r="B322" s="23" t="str">
        <f>IF('Clockify Raw'!K322="","",VALUE('Clockify Raw'!K322))</f>
        <v/>
      </c>
      <c r="C322" s="23" t="str">
        <f>IF('Clockify Raw'!M322="","",VALUE('Clockify Raw'!M322))</f>
        <v/>
      </c>
      <c r="D322" t="str">
        <f>IF('Clockify Raw'!A322="","",IF(LOWER('Clockify Raw'!A322)="break","Break","Work"))</f>
        <v/>
      </c>
      <c r="E322" t="str">
        <f>IF('Clockify Raw'!A322="","",IF(LOWER('Clockify Raw'!A322)="break","Break",IF('Clockify Raw'!C322&lt;&gt;"",'Clockify Raw'!C322,IF('Clockify Raw'!D322&lt;&gt;"",'Clockify Raw'!D322,'Clockify Raw'!A322))))</f>
        <v/>
      </c>
      <c r="F322" s="24" t="str">
        <f>IF('Clockify Raw'!O322="","",'Clockify Raw'!O322/24)</f>
        <v/>
      </c>
      <c r="G322" t="str">
        <f>IF(A322="","",COUNTIFS($A$2:$A$1000,A322,$B$2:$B$1000,"&lt;"&amp;B322)+COUNTIFS($A$2:A322,A322,$B$2:B322,B322))</f>
        <v/>
      </c>
      <c r="H322" t="str">
        <f t="shared" ref="H322:H385" si="5">IF(A322="","",TEXT(A322,"yyyymmdd")&amp;"|"&amp;G322)</f>
        <v/>
      </c>
    </row>
    <row r="323" spans="1:8">
      <c r="A323" s="25" t="str">
        <f>IF('Clockify Raw'!J323="","",'Clockify Raw'!J323)</f>
        <v/>
      </c>
      <c r="B323" s="23" t="str">
        <f>IF('Clockify Raw'!K323="","",VALUE('Clockify Raw'!K323))</f>
        <v/>
      </c>
      <c r="C323" s="23" t="str">
        <f>IF('Clockify Raw'!M323="","",VALUE('Clockify Raw'!M323))</f>
        <v/>
      </c>
      <c r="D323" t="str">
        <f>IF('Clockify Raw'!A323="","",IF(LOWER('Clockify Raw'!A323)="break","Break","Work"))</f>
        <v/>
      </c>
      <c r="E323" t="str">
        <f>IF('Clockify Raw'!A323="","",IF(LOWER('Clockify Raw'!A323)="break","Break",IF('Clockify Raw'!C323&lt;&gt;"",'Clockify Raw'!C323,IF('Clockify Raw'!D323&lt;&gt;"",'Clockify Raw'!D323,'Clockify Raw'!A323))))</f>
        <v/>
      </c>
      <c r="F323" s="24" t="str">
        <f>IF('Clockify Raw'!O323="","",'Clockify Raw'!O323/24)</f>
        <v/>
      </c>
      <c r="G323" t="str">
        <f>IF(A323="","",COUNTIFS($A$2:$A$1000,A323,$B$2:$B$1000,"&lt;"&amp;B323)+COUNTIFS($A$2:A323,A323,$B$2:B323,B323))</f>
        <v/>
      </c>
      <c r="H323" t="str">
        <f t="shared" si="5"/>
        <v/>
      </c>
    </row>
    <row r="324" spans="1:8">
      <c r="A324" s="25" t="str">
        <f>IF('Clockify Raw'!J324="","",'Clockify Raw'!J324)</f>
        <v/>
      </c>
      <c r="B324" s="23" t="str">
        <f>IF('Clockify Raw'!K324="","",VALUE('Clockify Raw'!K324))</f>
        <v/>
      </c>
      <c r="C324" s="23" t="str">
        <f>IF('Clockify Raw'!M324="","",VALUE('Clockify Raw'!M324))</f>
        <v/>
      </c>
      <c r="D324" t="str">
        <f>IF('Clockify Raw'!A324="","",IF(LOWER('Clockify Raw'!A324)="break","Break","Work"))</f>
        <v/>
      </c>
      <c r="E324" t="str">
        <f>IF('Clockify Raw'!A324="","",IF(LOWER('Clockify Raw'!A324)="break","Break",IF('Clockify Raw'!C324&lt;&gt;"",'Clockify Raw'!C324,IF('Clockify Raw'!D324&lt;&gt;"",'Clockify Raw'!D324,'Clockify Raw'!A324))))</f>
        <v/>
      </c>
      <c r="F324" s="24" t="str">
        <f>IF('Clockify Raw'!O324="","",'Clockify Raw'!O324/24)</f>
        <v/>
      </c>
      <c r="G324" t="str">
        <f>IF(A324="","",COUNTIFS($A$2:$A$1000,A324,$B$2:$B$1000,"&lt;"&amp;B324)+COUNTIFS($A$2:A324,A324,$B$2:B324,B324))</f>
        <v/>
      </c>
      <c r="H324" t="str">
        <f t="shared" si="5"/>
        <v/>
      </c>
    </row>
    <row r="325" spans="1:8">
      <c r="A325" s="25" t="str">
        <f>IF('Clockify Raw'!J325="","",'Clockify Raw'!J325)</f>
        <v/>
      </c>
      <c r="B325" s="23" t="str">
        <f>IF('Clockify Raw'!K325="","",VALUE('Clockify Raw'!K325))</f>
        <v/>
      </c>
      <c r="C325" s="23" t="str">
        <f>IF('Clockify Raw'!M325="","",VALUE('Clockify Raw'!M325))</f>
        <v/>
      </c>
      <c r="D325" t="str">
        <f>IF('Clockify Raw'!A325="","",IF(LOWER('Clockify Raw'!A325)="break","Break","Work"))</f>
        <v/>
      </c>
      <c r="E325" t="str">
        <f>IF('Clockify Raw'!A325="","",IF(LOWER('Clockify Raw'!A325)="break","Break",IF('Clockify Raw'!C325&lt;&gt;"",'Clockify Raw'!C325,IF('Clockify Raw'!D325&lt;&gt;"",'Clockify Raw'!D325,'Clockify Raw'!A325))))</f>
        <v/>
      </c>
      <c r="F325" s="24" t="str">
        <f>IF('Clockify Raw'!O325="","",'Clockify Raw'!O325/24)</f>
        <v/>
      </c>
      <c r="G325" t="str">
        <f>IF(A325="","",COUNTIFS($A$2:$A$1000,A325,$B$2:$B$1000,"&lt;"&amp;B325)+COUNTIFS($A$2:A325,A325,$B$2:B325,B325))</f>
        <v/>
      </c>
      <c r="H325" t="str">
        <f t="shared" si="5"/>
        <v/>
      </c>
    </row>
    <row r="326" spans="1:8">
      <c r="A326" s="25" t="str">
        <f>IF('Clockify Raw'!J326="","",'Clockify Raw'!J326)</f>
        <v/>
      </c>
      <c r="B326" s="23" t="str">
        <f>IF('Clockify Raw'!K326="","",VALUE('Clockify Raw'!K326))</f>
        <v/>
      </c>
      <c r="C326" s="23" t="str">
        <f>IF('Clockify Raw'!M326="","",VALUE('Clockify Raw'!M326))</f>
        <v/>
      </c>
      <c r="D326" t="str">
        <f>IF('Clockify Raw'!A326="","",IF(LOWER('Clockify Raw'!A326)="break","Break","Work"))</f>
        <v/>
      </c>
      <c r="E326" t="str">
        <f>IF('Clockify Raw'!A326="","",IF(LOWER('Clockify Raw'!A326)="break","Break",IF('Clockify Raw'!C326&lt;&gt;"",'Clockify Raw'!C326,IF('Clockify Raw'!D326&lt;&gt;"",'Clockify Raw'!D326,'Clockify Raw'!A326))))</f>
        <v/>
      </c>
      <c r="F326" s="24" t="str">
        <f>IF('Clockify Raw'!O326="","",'Clockify Raw'!O326/24)</f>
        <v/>
      </c>
      <c r="G326" t="str">
        <f>IF(A326="","",COUNTIFS($A$2:$A$1000,A326,$B$2:$B$1000,"&lt;"&amp;B326)+COUNTIFS($A$2:A326,A326,$B$2:B326,B326))</f>
        <v/>
      </c>
      <c r="H326" t="str">
        <f t="shared" si="5"/>
        <v/>
      </c>
    </row>
    <row r="327" spans="1:8">
      <c r="A327" s="25" t="str">
        <f>IF('Clockify Raw'!J327="","",'Clockify Raw'!J327)</f>
        <v/>
      </c>
      <c r="B327" s="23" t="str">
        <f>IF('Clockify Raw'!K327="","",VALUE('Clockify Raw'!K327))</f>
        <v/>
      </c>
      <c r="C327" s="23" t="str">
        <f>IF('Clockify Raw'!M327="","",VALUE('Clockify Raw'!M327))</f>
        <v/>
      </c>
      <c r="D327" t="str">
        <f>IF('Clockify Raw'!A327="","",IF(LOWER('Clockify Raw'!A327)="break","Break","Work"))</f>
        <v/>
      </c>
      <c r="E327" t="str">
        <f>IF('Clockify Raw'!A327="","",IF(LOWER('Clockify Raw'!A327)="break","Break",IF('Clockify Raw'!C327&lt;&gt;"",'Clockify Raw'!C327,IF('Clockify Raw'!D327&lt;&gt;"",'Clockify Raw'!D327,'Clockify Raw'!A327))))</f>
        <v/>
      </c>
      <c r="F327" s="24" t="str">
        <f>IF('Clockify Raw'!O327="","",'Clockify Raw'!O327/24)</f>
        <v/>
      </c>
      <c r="G327" t="str">
        <f>IF(A327="","",COUNTIFS($A$2:$A$1000,A327,$B$2:$B$1000,"&lt;"&amp;B327)+COUNTIFS($A$2:A327,A327,$B$2:B327,B327))</f>
        <v/>
      </c>
      <c r="H327" t="str">
        <f t="shared" si="5"/>
        <v/>
      </c>
    </row>
    <row r="328" spans="1:8">
      <c r="A328" s="25" t="str">
        <f>IF('Clockify Raw'!J328="","",'Clockify Raw'!J328)</f>
        <v/>
      </c>
      <c r="B328" s="23" t="str">
        <f>IF('Clockify Raw'!K328="","",VALUE('Clockify Raw'!K328))</f>
        <v/>
      </c>
      <c r="C328" s="23" t="str">
        <f>IF('Clockify Raw'!M328="","",VALUE('Clockify Raw'!M328))</f>
        <v/>
      </c>
      <c r="D328" t="str">
        <f>IF('Clockify Raw'!A328="","",IF(LOWER('Clockify Raw'!A328)="break","Break","Work"))</f>
        <v/>
      </c>
      <c r="E328" t="str">
        <f>IF('Clockify Raw'!A328="","",IF(LOWER('Clockify Raw'!A328)="break","Break",IF('Clockify Raw'!C328&lt;&gt;"",'Clockify Raw'!C328,IF('Clockify Raw'!D328&lt;&gt;"",'Clockify Raw'!D328,'Clockify Raw'!A328))))</f>
        <v/>
      </c>
      <c r="F328" s="24" t="str">
        <f>IF('Clockify Raw'!O328="","",'Clockify Raw'!O328/24)</f>
        <v/>
      </c>
      <c r="G328" t="str">
        <f>IF(A328="","",COUNTIFS($A$2:$A$1000,A328,$B$2:$B$1000,"&lt;"&amp;B328)+COUNTIFS($A$2:A328,A328,$B$2:B328,B328))</f>
        <v/>
      </c>
      <c r="H328" t="str">
        <f t="shared" si="5"/>
        <v/>
      </c>
    </row>
    <row r="329" spans="1:8">
      <c r="A329" s="25" t="str">
        <f>IF('Clockify Raw'!J329="","",'Clockify Raw'!J329)</f>
        <v/>
      </c>
      <c r="B329" s="23" t="str">
        <f>IF('Clockify Raw'!K329="","",VALUE('Clockify Raw'!K329))</f>
        <v/>
      </c>
      <c r="C329" s="23" t="str">
        <f>IF('Clockify Raw'!M329="","",VALUE('Clockify Raw'!M329))</f>
        <v/>
      </c>
      <c r="D329" t="str">
        <f>IF('Clockify Raw'!A329="","",IF(LOWER('Clockify Raw'!A329)="break","Break","Work"))</f>
        <v/>
      </c>
      <c r="E329" t="str">
        <f>IF('Clockify Raw'!A329="","",IF(LOWER('Clockify Raw'!A329)="break","Break",IF('Clockify Raw'!C329&lt;&gt;"",'Clockify Raw'!C329,IF('Clockify Raw'!D329&lt;&gt;"",'Clockify Raw'!D329,'Clockify Raw'!A329))))</f>
        <v/>
      </c>
      <c r="F329" s="24" t="str">
        <f>IF('Clockify Raw'!O329="","",'Clockify Raw'!O329/24)</f>
        <v/>
      </c>
      <c r="G329" t="str">
        <f>IF(A329="","",COUNTIFS($A$2:$A$1000,A329,$B$2:$B$1000,"&lt;"&amp;B329)+COUNTIFS($A$2:A329,A329,$B$2:B329,B329))</f>
        <v/>
      </c>
      <c r="H329" t="str">
        <f t="shared" si="5"/>
        <v/>
      </c>
    </row>
    <row r="330" spans="1:8">
      <c r="A330" s="25" t="str">
        <f>IF('Clockify Raw'!J330="","",'Clockify Raw'!J330)</f>
        <v/>
      </c>
      <c r="B330" s="23" t="str">
        <f>IF('Clockify Raw'!K330="","",VALUE('Clockify Raw'!K330))</f>
        <v/>
      </c>
      <c r="C330" s="23" t="str">
        <f>IF('Clockify Raw'!M330="","",VALUE('Clockify Raw'!M330))</f>
        <v/>
      </c>
      <c r="D330" t="str">
        <f>IF('Clockify Raw'!A330="","",IF(LOWER('Clockify Raw'!A330)="break","Break","Work"))</f>
        <v/>
      </c>
      <c r="E330" t="str">
        <f>IF('Clockify Raw'!A330="","",IF(LOWER('Clockify Raw'!A330)="break","Break",IF('Clockify Raw'!C330&lt;&gt;"",'Clockify Raw'!C330,IF('Clockify Raw'!D330&lt;&gt;"",'Clockify Raw'!D330,'Clockify Raw'!A330))))</f>
        <v/>
      </c>
      <c r="F330" s="24" t="str">
        <f>IF('Clockify Raw'!O330="","",'Clockify Raw'!O330/24)</f>
        <v/>
      </c>
      <c r="G330" t="str">
        <f>IF(A330="","",COUNTIFS($A$2:$A$1000,A330,$B$2:$B$1000,"&lt;"&amp;B330)+COUNTIFS($A$2:A330,A330,$B$2:B330,B330))</f>
        <v/>
      </c>
      <c r="H330" t="str">
        <f t="shared" si="5"/>
        <v/>
      </c>
    </row>
    <row r="331" spans="1:8">
      <c r="A331" s="25" t="str">
        <f>IF('Clockify Raw'!J331="","",'Clockify Raw'!J331)</f>
        <v/>
      </c>
      <c r="B331" s="23" t="str">
        <f>IF('Clockify Raw'!K331="","",VALUE('Clockify Raw'!K331))</f>
        <v/>
      </c>
      <c r="C331" s="23" t="str">
        <f>IF('Clockify Raw'!M331="","",VALUE('Clockify Raw'!M331))</f>
        <v/>
      </c>
      <c r="D331" t="str">
        <f>IF('Clockify Raw'!A331="","",IF(LOWER('Clockify Raw'!A331)="break","Break","Work"))</f>
        <v/>
      </c>
      <c r="E331" t="str">
        <f>IF('Clockify Raw'!A331="","",IF(LOWER('Clockify Raw'!A331)="break","Break",IF('Clockify Raw'!C331&lt;&gt;"",'Clockify Raw'!C331,IF('Clockify Raw'!D331&lt;&gt;"",'Clockify Raw'!D331,'Clockify Raw'!A331))))</f>
        <v/>
      </c>
      <c r="F331" s="24" t="str">
        <f>IF('Clockify Raw'!O331="","",'Clockify Raw'!O331/24)</f>
        <v/>
      </c>
      <c r="G331" t="str">
        <f>IF(A331="","",COUNTIFS($A$2:$A$1000,A331,$B$2:$B$1000,"&lt;"&amp;B331)+COUNTIFS($A$2:A331,A331,$B$2:B331,B331))</f>
        <v/>
      </c>
      <c r="H331" t="str">
        <f t="shared" si="5"/>
        <v/>
      </c>
    </row>
    <row r="332" spans="1:8">
      <c r="A332" s="25" t="str">
        <f>IF('Clockify Raw'!J332="","",'Clockify Raw'!J332)</f>
        <v/>
      </c>
      <c r="B332" s="23" t="str">
        <f>IF('Clockify Raw'!K332="","",VALUE('Clockify Raw'!K332))</f>
        <v/>
      </c>
      <c r="C332" s="23" t="str">
        <f>IF('Clockify Raw'!M332="","",VALUE('Clockify Raw'!M332))</f>
        <v/>
      </c>
      <c r="D332" t="str">
        <f>IF('Clockify Raw'!A332="","",IF(LOWER('Clockify Raw'!A332)="break","Break","Work"))</f>
        <v/>
      </c>
      <c r="E332" t="str">
        <f>IF('Clockify Raw'!A332="","",IF(LOWER('Clockify Raw'!A332)="break","Break",IF('Clockify Raw'!C332&lt;&gt;"",'Clockify Raw'!C332,IF('Clockify Raw'!D332&lt;&gt;"",'Clockify Raw'!D332,'Clockify Raw'!A332))))</f>
        <v/>
      </c>
      <c r="F332" s="24" t="str">
        <f>IF('Clockify Raw'!O332="","",'Clockify Raw'!O332/24)</f>
        <v/>
      </c>
      <c r="G332" t="str">
        <f>IF(A332="","",COUNTIFS($A$2:$A$1000,A332,$B$2:$B$1000,"&lt;"&amp;B332)+COUNTIFS($A$2:A332,A332,$B$2:B332,B332))</f>
        <v/>
      </c>
      <c r="H332" t="str">
        <f t="shared" si="5"/>
        <v/>
      </c>
    </row>
    <row r="333" spans="1:8">
      <c r="A333" s="25" t="str">
        <f>IF('Clockify Raw'!J333="","",'Clockify Raw'!J333)</f>
        <v/>
      </c>
      <c r="B333" s="23" t="str">
        <f>IF('Clockify Raw'!K333="","",VALUE('Clockify Raw'!K333))</f>
        <v/>
      </c>
      <c r="C333" s="23" t="str">
        <f>IF('Clockify Raw'!M333="","",VALUE('Clockify Raw'!M333))</f>
        <v/>
      </c>
      <c r="D333" t="str">
        <f>IF('Clockify Raw'!A333="","",IF(LOWER('Clockify Raw'!A333)="break","Break","Work"))</f>
        <v/>
      </c>
      <c r="E333" t="str">
        <f>IF('Clockify Raw'!A333="","",IF(LOWER('Clockify Raw'!A333)="break","Break",IF('Clockify Raw'!C333&lt;&gt;"",'Clockify Raw'!C333,IF('Clockify Raw'!D333&lt;&gt;"",'Clockify Raw'!D333,'Clockify Raw'!A333))))</f>
        <v/>
      </c>
      <c r="F333" s="24" t="str">
        <f>IF('Clockify Raw'!O333="","",'Clockify Raw'!O333/24)</f>
        <v/>
      </c>
      <c r="G333" t="str">
        <f>IF(A333="","",COUNTIFS($A$2:$A$1000,A333,$B$2:$B$1000,"&lt;"&amp;B333)+COUNTIFS($A$2:A333,A333,$B$2:B333,B333))</f>
        <v/>
      </c>
      <c r="H333" t="str">
        <f t="shared" si="5"/>
        <v/>
      </c>
    </row>
    <row r="334" spans="1:8">
      <c r="A334" s="25" t="str">
        <f>IF('Clockify Raw'!J334="","",'Clockify Raw'!J334)</f>
        <v/>
      </c>
      <c r="B334" s="23" t="str">
        <f>IF('Clockify Raw'!K334="","",VALUE('Clockify Raw'!K334))</f>
        <v/>
      </c>
      <c r="C334" s="23" t="str">
        <f>IF('Clockify Raw'!M334="","",VALUE('Clockify Raw'!M334))</f>
        <v/>
      </c>
      <c r="D334" t="str">
        <f>IF('Clockify Raw'!A334="","",IF(LOWER('Clockify Raw'!A334)="break","Break","Work"))</f>
        <v/>
      </c>
      <c r="E334" t="str">
        <f>IF('Clockify Raw'!A334="","",IF(LOWER('Clockify Raw'!A334)="break","Break",IF('Clockify Raw'!C334&lt;&gt;"",'Clockify Raw'!C334,IF('Clockify Raw'!D334&lt;&gt;"",'Clockify Raw'!D334,'Clockify Raw'!A334))))</f>
        <v/>
      </c>
      <c r="F334" s="24" t="str">
        <f>IF('Clockify Raw'!O334="","",'Clockify Raw'!O334/24)</f>
        <v/>
      </c>
      <c r="G334" t="str">
        <f>IF(A334="","",COUNTIFS($A$2:$A$1000,A334,$B$2:$B$1000,"&lt;"&amp;B334)+COUNTIFS($A$2:A334,A334,$B$2:B334,B334))</f>
        <v/>
      </c>
      <c r="H334" t="str">
        <f t="shared" si="5"/>
        <v/>
      </c>
    </row>
    <row r="335" spans="1:8">
      <c r="A335" s="25" t="str">
        <f>IF('Clockify Raw'!J335="","",'Clockify Raw'!J335)</f>
        <v/>
      </c>
      <c r="B335" s="23" t="str">
        <f>IF('Clockify Raw'!K335="","",VALUE('Clockify Raw'!K335))</f>
        <v/>
      </c>
      <c r="C335" s="23" t="str">
        <f>IF('Clockify Raw'!M335="","",VALUE('Clockify Raw'!M335))</f>
        <v/>
      </c>
      <c r="D335" t="str">
        <f>IF('Clockify Raw'!A335="","",IF(LOWER('Clockify Raw'!A335)="break","Break","Work"))</f>
        <v/>
      </c>
      <c r="E335" t="str">
        <f>IF('Clockify Raw'!A335="","",IF(LOWER('Clockify Raw'!A335)="break","Break",IF('Clockify Raw'!C335&lt;&gt;"",'Clockify Raw'!C335,IF('Clockify Raw'!D335&lt;&gt;"",'Clockify Raw'!D335,'Clockify Raw'!A335))))</f>
        <v/>
      </c>
      <c r="F335" s="24" t="str">
        <f>IF('Clockify Raw'!O335="","",'Clockify Raw'!O335/24)</f>
        <v/>
      </c>
      <c r="G335" t="str">
        <f>IF(A335="","",COUNTIFS($A$2:$A$1000,A335,$B$2:$B$1000,"&lt;"&amp;B335)+COUNTIFS($A$2:A335,A335,$B$2:B335,B335))</f>
        <v/>
      </c>
      <c r="H335" t="str">
        <f t="shared" si="5"/>
        <v/>
      </c>
    </row>
    <row r="336" spans="1:8">
      <c r="A336" s="25" t="str">
        <f>IF('Clockify Raw'!J336="","",'Clockify Raw'!J336)</f>
        <v/>
      </c>
      <c r="B336" s="23" t="str">
        <f>IF('Clockify Raw'!K336="","",VALUE('Clockify Raw'!K336))</f>
        <v/>
      </c>
      <c r="C336" s="23" t="str">
        <f>IF('Clockify Raw'!M336="","",VALUE('Clockify Raw'!M336))</f>
        <v/>
      </c>
      <c r="D336" t="str">
        <f>IF('Clockify Raw'!A336="","",IF(LOWER('Clockify Raw'!A336)="break","Break","Work"))</f>
        <v/>
      </c>
      <c r="E336" t="str">
        <f>IF('Clockify Raw'!A336="","",IF(LOWER('Clockify Raw'!A336)="break","Break",IF('Clockify Raw'!C336&lt;&gt;"",'Clockify Raw'!C336,IF('Clockify Raw'!D336&lt;&gt;"",'Clockify Raw'!D336,'Clockify Raw'!A336))))</f>
        <v/>
      </c>
      <c r="F336" s="24" t="str">
        <f>IF('Clockify Raw'!O336="","",'Clockify Raw'!O336/24)</f>
        <v/>
      </c>
      <c r="G336" t="str">
        <f>IF(A336="","",COUNTIFS($A$2:$A$1000,A336,$B$2:$B$1000,"&lt;"&amp;B336)+COUNTIFS($A$2:A336,A336,$B$2:B336,B336))</f>
        <v/>
      </c>
      <c r="H336" t="str">
        <f t="shared" si="5"/>
        <v/>
      </c>
    </row>
    <row r="337" spans="1:8">
      <c r="A337" s="25" t="str">
        <f>IF('Clockify Raw'!J337="","",'Clockify Raw'!J337)</f>
        <v/>
      </c>
      <c r="B337" s="23" t="str">
        <f>IF('Clockify Raw'!K337="","",VALUE('Clockify Raw'!K337))</f>
        <v/>
      </c>
      <c r="C337" s="23" t="str">
        <f>IF('Clockify Raw'!M337="","",VALUE('Clockify Raw'!M337))</f>
        <v/>
      </c>
      <c r="D337" t="str">
        <f>IF('Clockify Raw'!A337="","",IF(LOWER('Clockify Raw'!A337)="break","Break","Work"))</f>
        <v/>
      </c>
      <c r="E337" t="str">
        <f>IF('Clockify Raw'!A337="","",IF(LOWER('Clockify Raw'!A337)="break","Break",IF('Clockify Raw'!C337&lt;&gt;"",'Clockify Raw'!C337,IF('Clockify Raw'!D337&lt;&gt;"",'Clockify Raw'!D337,'Clockify Raw'!A337))))</f>
        <v/>
      </c>
      <c r="F337" s="24" t="str">
        <f>IF('Clockify Raw'!O337="","",'Clockify Raw'!O337/24)</f>
        <v/>
      </c>
      <c r="G337" t="str">
        <f>IF(A337="","",COUNTIFS($A$2:$A$1000,A337,$B$2:$B$1000,"&lt;"&amp;B337)+COUNTIFS($A$2:A337,A337,$B$2:B337,B337))</f>
        <v/>
      </c>
      <c r="H337" t="str">
        <f t="shared" si="5"/>
        <v/>
      </c>
    </row>
    <row r="338" spans="1:8">
      <c r="A338" s="25" t="str">
        <f>IF('Clockify Raw'!J338="","",'Clockify Raw'!J338)</f>
        <v/>
      </c>
      <c r="B338" s="23" t="str">
        <f>IF('Clockify Raw'!K338="","",VALUE('Clockify Raw'!K338))</f>
        <v/>
      </c>
      <c r="C338" s="23" t="str">
        <f>IF('Clockify Raw'!M338="","",VALUE('Clockify Raw'!M338))</f>
        <v/>
      </c>
      <c r="D338" t="str">
        <f>IF('Clockify Raw'!A338="","",IF(LOWER('Clockify Raw'!A338)="break","Break","Work"))</f>
        <v/>
      </c>
      <c r="E338" t="str">
        <f>IF('Clockify Raw'!A338="","",IF(LOWER('Clockify Raw'!A338)="break","Break",IF('Clockify Raw'!C338&lt;&gt;"",'Clockify Raw'!C338,IF('Clockify Raw'!D338&lt;&gt;"",'Clockify Raw'!D338,'Clockify Raw'!A338))))</f>
        <v/>
      </c>
      <c r="F338" s="24" t="str">
        <f>IF('Clockify Raw'!O338="","",'Clockify Raw'!O338/24)</f>
        <v/>
      </c>
      <c r="G338" t="str">
        <f>IF(A338="","",COUNTIFS($A$2:$A$1000,A338,$B$2:$B$1000,"&lt;"&amp;B338)+COUNTIFS($A$2:A338,A338,$B$2:B338,B338))</f>
        <v/>
      </c>
      <c r="H338" t="str">
        <f t="shared" si="5"/>
        <v/>
      </c>
    </row>
    <row r="339" spans="1:8">
      <c r="A339" s="25" t="str">
        <f>IF('Clockify Raw'!J339="","",'Clockify Raw'!J339)</f>
        <v/>
      </c>
      <c r="B339" s="23" t="str">
        <f>IF('Clockify Raw'!K339="","",VALUE('Clockify Raw'!K339))</f>
        <v/>
      </c>
      <c r="C339" s="23" t="str">
        <f>IF('Clockify Raw'!M339="","",VALUE('Clockify Raw'!M339))</f>
        <v/>
      </c>
      <c r="D339" t="str">
        <f>IF('Clockify Raw'!A339="","",IF(LOWER('Clockify Raw'!A339)="break","Break","Work"))</f>
        <v/>
      </c>
      <c r="E339" t="str">
        <f>IF('Clockify Raw'!A339="","",IF(LOWER('Clockify Raw'!A339)="break","Break",IF('Clockify Raw'!C339&lt;&gt;"",'Clockify Raw'!C339,IF('Clockify Raw'!D339&lt;&gt;"",'Clockify Raw'!D339,'Clockify Raw'!A339))))</f>
        <v/>
      </c>
      <c r="F339" s="24" t="str">
        <f>IF('Clockify Raw'!O339="","",'Clockify Raw'!O339/24)</f>
        <v/>
      </c>
      <c r="G339" t="str">
        <f>IF(A339="","",COUNTIFS($A$2:$A$1000,A339,$B$2:$B$1000,"&lt;"&amp;B339)+COUNTIFS($A$2:A339,A339,$B$2:B339,B339))</f>
        <v/>
      </c>
      <c r="H339" t="str">
        <f t="shared" si="5"/>
        <v/>
      </c>
    </row>
    <row r="340" spans="1:8">
      <c r="A340" s="25" t="str">
        <f>IF('Clockify Raw'!J340="","",'Clockify Raw'!J340)</f>
        <v/>
      </c>
      <c r="B340" s="23" t="str">
        <f>IF('Clockify Raw'!K340="","",VALUE('Clockify Raw'!K340))</f>
        <v/>
      </c>
      <c r="C340" s="23" t="str">
        <f>IF('Clockify Raw'!M340="","",VALUE('Clockify Raw'!M340))</f>
        <v/>
      </c>
      <c r="D340" t="str">
        <f>IF('Clockify Raw'!A340="","",IF(LOWER('Clockify Raw'!A340)="break","Break","Work"))</f>
        <v/>
      </c>
      <c r="E340" t="str">
        <f>IF('Clockify Raw'!A340="","",IF(LOWER('Clockify Raw'!A340)="break","Break",IF('Clockify Raw'!C340&lt;&gt;"",'Clockify Raw'!C340,IF('Clockify Raw'!D340&lt;&gt;"",'Clockify Raw'!D340,'Clockify Raw'!A340))))</f>
        <v/>
      </c>
      <c r="F340" s="24" t="str">
        <f>IF('Clockify Raw'!O340="","",'Clockify Raw'!O340/24)</f>
        <v/>
      </c>
      <c r="G340" t="str">
        <f>IF(A340="","",COUNTIFS($A$2:$A$1000,A340,$B$2:$B$1000,"&lt;"&amp;B340)+COUNTIFS($A$2:A340,A340,$B$2:B340,B340))</f>
        <v/>
      </c>
      <c r="H340" t="str">
        <f t="shared" si="5"/>
        <v/>
      </c>
    </row>
    <row r="341" spans="1:8">
      <c r="A341" s="25" t="str">
        <f>IF('Clockify Raw'!J341="","",'Clockify Raw'!J341)</f>
        <v/>
      </c>
      <c r="B341" s="23" t="str">
        <f>IF('Clockify Raw'!K341="","",VALUE('Clockify Raw'!K341))</f>
        <v/>
      </c>
      <c r="C341" s="23" t="str">
        <f>IF('Clockify Raw'!M341="","",VALUE('Clockify Raw'!M341))</f>
        <v/>
      </c>
      <c r="D341" t="str">
        <f>IF('Clockify Raw'!A341="","",IF(LOWER('Clockify Raw'!A341)="break","Break","Work"))</f>
        <v/>
      </c>
      <c r="E341" t="str">
        <f>IF('Clockify Raw'!A341="","",IF(LOWER('Clockify Raw'!A341)="break","Break",IF('Clockify Raw'!C341&lt;&gt;"",'Clockify Raw'!C341,IF('Clockify Raw'!D341&lt;&gt;"",'Clockify Raw'!D341,'Clockify Raw'!A341))))</f>
        <v/>
      </c>
      <c r="F341" s="24" t="str">
        <f>IF('Clockify Raw'!O341="","",'Clockify Raw'!O341/24)</f>
        <v/>
      </c>
      <c r="G341" t="str">
        <f>IF(A341="","",COUNTIFS($A$2:$A$1000,A341,$B$2:$B$1000,"&lt;"&amp;B341)+COUNTIFS($A$2:A341,A341,$B$2:B341,B341))</f>
        <v/>
      </c>
      <c r="H341" t="str">
        <f t="shared" si="5"/>
        <v/>
      </c>
    </row>
    <row r="342" spans="1:8">
      <c r="A342" s="25" t="str">
        <f>IF('Clockify Raw'!J342="","",'Clockify Raw'!J342)</f>
        <v/>
      </c>
      <c r="B342" s="23" t="str">
        <f>IF('Clockify Raw'!K342="","",VALUE('Clockify Raw'!K342))</f>
        <v/>
      </c>
      <c r="C342" s="23" t="str">
        <f>IF('Clockify Raw'!M342="","",VALUE('Clockify Raw'!M342))</f>
        <v/>
      </c>
      <c r="D342" t="str">
        <f>IF('Clockify Raw'!A342="","",IF(LOWER('Clockify Raw'!A342)="break","Break","Work"))</f>
        <v/>
      </c>
      <c r="E342" t="str">
        <f>IF('Clockify Raw'!A342="","",IF(LOWER('Clockify Raw'!A342)="break","Break",IF('Clockify Raw'!C342&lt;&gt;"",'Clockify Raw'!C342,IF('Clockify Raw'!D342&lt;&gt;"",'Clockify Raw'!D342,'Clockify Raw'!A342))))</f>
        <v/>
      </c>
      <c r="F342" s="24" t="str">
        <f>IF('Clockify Raw'!O342="","",'Clockify Raw'!O342/24)</f>
        <v/>
      </c>
      <c r="G342" t="str">
        <f>IF(A342="","",COUNTIFS($A$2:$A$1000,A342,$B$2:$B$1000,"&lt;"&amp;B342)+COUNTIFS($A$2:A342,A342,$B$2:B342,B342))</f>
        <v/>
      </c>
      <c r="H342" t="str">
        <f t="shared" si="5"/>
        <v/>
      </c>
    </row>
    <row r="343" spans="1:8">
      <c r="A343" s="25" t="str">
        <f>IF('Clockify Raw'!J343="","",'Clockify Raw'!J343)</f>
        <v/>
      </c>
      <c r="B343" s="23" t="str">
        <f>IF('Clockify Raw'!K343="","",VALUE('Clockify Raw'!K343))</f>
        <v/>
      </c>
      <c r="C343" s="23" t="str">
        <f>IF('Clockify Raw'!M343="","",VALUE('Clockify Raw'!M343))</f>
        <v/>
      </c>
      <c r="D343" t="str">
        <f>IF('Clockify Raw'!A343="","",IF(LOWER('Clockify Raw'!A343)="break","Break","Work"))</f>
        <v/>
      </c>
      <c r="E343" t="str">
        <f>IF('Clockify Raw'!A343="","",IF(LOWER('Clockify Raw'!A343)="break","Break",IF('Clockify Raw'!C343&lt;&gt;"",'Clockify Raw'!C343,IF('Clockify Raw'!D343&lt;&gt;"",'Clockify Raw'!D343,'Clockify Raw'!A343))))</f>
        <v/>
      </c>
      <c r="F343" s="24" t="str">
        <f>IF('Clockify Raw'!O343="","",'Clockify Raw'!O343/24)</f>
        <v/>
      </c>
      <c r="G343" t="str">
        <f>IF(A343="","",COUNTIFS($A$2:$A$1000,A343,$B$2:$B$1000,"&lt;"&amp;B343)+COUNTIFS($A$2:A343,A343,$B$2:B343,B343))</f>
        <v/>
      </c>
      <c r="H343" t="str">
        <f t="shared" si="5"/>
        <v/>
      </c>
    </row>
    <row r="344" spans="1:8">
      <c r="A344" s="25" t="str">
        <f>IF('Clockify Raw'!J344="","",'Clockify Raw'!J344)</f>
        <v/>
      </c>
      <c r="B344" s="23" t="str">
        <f>IF('Clockify Raw'!K344="","",VALUE('Clockify Raw'!K344))</f>
        <v/>
      </c>
      <c r="C344" s="23" t="str">
        <f>IF('Clockify Raw'!M344="","",VALUE('Clockify Raw'!M344))</f>
        <v/>
      </c>
      <c r="D344" t="str">
        <f>IF('Clockify Raw'!A344="","",IF(LOWER('Clockify Raw'!A344)="break","Break","Work"))</f>
        <v/>
      </c>
      <c r="E344" t="str">
        <f>IF('Clockify Raw'!A344="","",IF(LOWER('Clockify Raw'!A344)="break","Break",IF('Clockify Raw'!C344&lt;&gt;"",'Clockify Raw'!C344,IF('Clockify Raw'!D344&lt;&gt;"",'Clockify Raw'!D344,'Clockify Raw'!A344))))</f>
        <v/>
      </c>
      <c r="F344" s="24" t="str">
        <f>IF('Clockify Raw'!O344="","",'Clockify Raw'!O344/24)</f>
        <v/>
      </c>
      <c r="G344" t="str">
        <f>IF(A344="","",COUNTIFS($A$2:$A$1000,A344,$B$2:$B$1000,"&lt;"&amp;B344)+COUNTIFS($A$2:A344,A344,$B$2:B344,B344))</f>
        <v/>
      </c>
      <c r="H344" t="str">
        <f t="shared" si="5"/>
        <v/>
      </c>
    </row>
    <row r="345" spans="1:8">
      <c r="A345" s="25" t="str">
        <f>IF('Clockify Raw'!J345="","",'Clockify Raw'!J345)</f>
        <v/>
      </c>
      <c r="B345" s="23" t="str">
        <f>IF('Clockify Raw'!K345="","",VALUE('Clockify Raw'!K345))</f>
        <v/>
      </c>
      <c r="C345" s="23" t="str">
        <f>IF('Clockify Raw'!M345="","",VALUE('Clockify Raw'!M345))</f>
        <v/>
      </c>
      <c r="D345" t="str">
        <f>IF('Clockify Raw'!A345="","",IF(LOWER('Clockify Raw'!A345)="break","Break","Work"))</f>
        <v/>
      </c>
      <c r="E345" t="str">
        <f>IF('Clockify Raw'!A345="","",IF(LOWER('Clockify Raw'!A345)="break","Break",IF('Clockify Raw'!C345&lt;&gt;"",'Clockify Raw'!C345,IF('Clockify Raw'!D345&lt;&gt;"",'Clockify Raw'!D345,'Clockify Raw'!A345))))</f>
        <v/>
      </c>
      <c r="F345" s="24" t="str">
        <f>IF('Clockify Raw'!O345="","",'Clockify Raw'!O345/24)</f>
        <v/>
      </c>
      <c r="G345" t="str">
        <f>IF(A345="","",COUNTIFS($A$2:$A$1000,A345,$B$2:$B$1000,"&lt;"&amp;B345)+COUNTIFS($A$2:A345,A345,$B$2:B345,B345))</f>
        <v/>
      </c>
      <c r="H345" t="str">
        <f t="shared" si="5"/>
        <v/>
      </c>
    </row>
    <row r="346" spans="1:8">
      <c r="A346" s="25" t="str">
        <f>IF('Clockify Raw'!J346="","",'Clockify Raw'!J346)</f>
        <v/>
      </c>
      <c r="B346" s="23" t="str">
        <f>IF('Clockify Raw'!K346="","",VALUE('Clockify Raw'!K346))</f>
        <v/>
      </c>
      <c r="C346" s="23" t="str">
        <f>IF('Clockify Raw'!M346="","",VALUE('Clockify Raw'!M346))</f>
        <v/>
      </c>
      <c r="D346" t="str">
        <f>IF('Clockify Raw'!A346="","",IF(LOWER('Clockify Raw'!A346)="break","Break","Work"))</f>
        <v/>
      </c>
      <c r="E346" t="str">
        <f>IF('Clockify Raw'!A346="","",IF(LOWER('Clockify Raw'!A346)="break","Break",IF('Clockify Raw'!C346&lt;&gt;"",'Clockify Raw'!C346,IF('Clockify Raw'!D346&lt;&gt;"",'Clockify Raw'!D346,'Clockify Raw'!A346))))</f>
        <v/>
      </c>
      <c r="F346" s="24" t="str">
        <f>IF('Clockify Raw'!O346="","",'Clockify Raw'!O346/24)</f>
        <v/>
      </c>
      <c r="G346" t="str">
        <f>IF(A346="","",COUNTIFS($A$2:$A$1000,A346,$B$2:$B$1000,"&lt;"&amp;B346)+COUNTIFS($A$2:A346,A346,$B$2:B346,B346))</f>
        <v/>
      </c>
      <c r="H346" t="str">
        <f t="shared" si="5"/>
        <v/>
      </c>
    </row>
    <row r="347" spans="1:8">
      <c r="A347" s="25" t="str">
        <f>IF('Clockify Raw'!J347="","",'Clockify Raw'!J347)</f>
        <v/>
      </c>
      <c r="B347" s="23" t="str">
        <f>IF('Clockify Raw'!K347="","",VALUE('Clockify Raw'!K347))</f>
        <v/>
      </c>
      <c r="C347" s="23" t="str">
        <f>IF('Clockify Raw'!M347="","",VALUE('Clockify Raw'!M347))</f>
        <v/>
      </c>
      <c r="D347" t="str">
        <f>IF('Clockify Raw'!A347="","",IF(LOWER('Clockify Raw'!A347)="break","Break","Work"))</f>
        <v/>
      </c>
      <c r="E347" t="str">
        <f>IF('Clockify Raw'!A347="","",IF(LOWER('Clockify Raw'!A347)="break","Break",IF('Clockify Raw'!C347&lt;&gt;"",'Clockify Raw'!C347,IF('Clockify Raw'!D347&lt;&gt;"",'Clockify Raw'!D347,'Clockify Raw'!A347))))</f>
        <v/>
      </c>
      <c r="F347" s="24" t="str">
        <f>IF('Clockify Raw'!O347="","",'Clockify Raw'!O347/24)</f>
        <v/>
      </c>
      <c r="G347" t="str">
        <f>IF(A347="","",COUNTIFS($A$2:$A$1000,A347,$B$2:$B$1000,"&lt;"&amp;B347)+COUNTIFS($A$2:A347,A347,$B$2:B347,B347))</f>
        <v/>
      </c>
      <c r="H347" t="str">
        <f t="shared" si="5"/>
        <v/>
      </c>
    </row>
    <row r="348" spans="1:8">
      <c r="A348" s="25" t="str">
        <f>IF('Clockify Raw'!J348="","",'Clockify Raw'!J348)</f>
        <v/>
      </c>
      <c r="B348" s="23" t="str">
        <f>IF('Clockify Raw'!K348="","",VALUE('Clockify Raw'!K348))</f>
        <v/>
      </c>
      <c r="C348" s="23" t="str">
        <f>IF('Clockify Raw'!M348="","",VALUE('Clockify Raw'!M348))</f>
        <v/>
      </c>
      <c r="D348" t="str">
        <f>IF('Clockify Raw'!A348="","",IF(LOWER('Clockify Raw'!A348)="break","Break","Work"))</f>
        <v/>
      </c>
      <c r="E348" t="str">
        <f>IF('Clockify Raw'!A348="","",IF(LOWER('Clockify Raw'!A348)="break","Break",IF('Clockify Raw'!C348&lt;&gt;"",'Clockify Raw'!C348,IF('Clockify Raw'!D348&lt;&gt;"",'Clockify Raw'!D348,'Clockify Raw'!A348))))</f>
        <v/>
      </c>
      <c r="F348" s="24" t="str">
        <f>IF('Clockify Raw'!O348="","",'Clockify Raw'!O348/24)</f>
        <v/>
      </c>
      <c r="G348" t="str">
        <f>IF(A348="","",COUNTIFS($A$2:$A$1000,A348,$B$2:$B$1000,"&lt;"&amp;B348)+COUNTIFS($A$2:A348,A348,$B$2:B348,B348))</f>
        <v/>
      </c>
      <c r="H348" t="str">
        <f t="shared" si="5"/>
        <v/>
      </c>
    </row>
    <row r="349" spans="1:8">
      <c r="A349" s="25" t="str">
        <f>IF('Clockify Raw'!J349="","",'Clockify Raw'!J349)</f>
        <v/>
      </c>
      <c r="B349" s="23" t="str">
        <f>IF('Clockify Raw'!K349="","",VALUE('Clockify Raw'!K349))</f>
        <v/>
      </c>
      <c r="C349" s="23" t="str">
        <f>IF('Clockify Raw'!M349="","",VALUE('Clockify Raw'!M349))</f>
        <v/>
      </c>
      <c r="D349" t="str">
        <f>IF('Clockify Raw'!A349="","",IF(LOWER('Clockify Raw'!A349)="break","Break","Work"))</f>
        <v/>
      </c>
      <c r="E349" t="str">
        <f>IF('Clockify Raw'!A349="","",IF(LOWER('Clockify Raw'!A349)="break","Break",IF('Clockify Raw'!C349&lt;&gt;"",'Clockify Raw'!C349,IF('Clockify Raw'!D349&lt;&gt;"",'Clockify Raw'!D349,'Clockify Raw'!A349))))</f>
        <v/>
      </c>
      <c r="F349" s="24" t="str">
        <f>IF('Clockify Raw'!O349="","",'Clockify Raw'!O349/24)</f>
        <v/>
      </c>
      <c r="G349" t="str">
        <f>IF(A349="","",COUNTIFS($A$2:$A$1000,A349,$B$2:$B$1000,"&lt;"&amp;B349)+COUNTIFS($A$2:A349,A349,$B$2:B349,B349))</f>
        <v/>
      </c>
      <c r="H349" t="str">
        <f t="shared" si="5"/>
        <v/>
      </c>
    </row>
    <row r="350" spans="1:8">
      <c r="A350" s="25" t="str">
        <f>IF('Clockify Raw'!J350="","",'Clockify Raw'!J350)</f>
        <v/>
      </c>
      <c r="B350" s="23" t="str">
        <f>IF('Clockify Raw'!K350="","",VALUE('Clockify Raw'!K350))</f>
        <v/>
      </c>
      <c r="C350" s="23" t="str">
        <f>IF('Clockify Raw'!M350="","",VALUE('Clockify Raw'!M350))</f>
        <v/>
      </c>
      <c r="D350" t="str">
        <f>IF('Clockify Raw'!A350="","",IF(LOWER('Clockify Raw'!A350)="break","Break","Work"))</f>
        <v/>
      </c>
      <c r="E350" t="str">
        <f>IF('Clockify Raw'!A350="","",IF(LOWER('Clockify Raw'!A350)="break","Break",IF('Clockify Raw'!C350&lt;&gt;"",'Clockify Raw'!C350,IF('Clockify Raw'!D350&lt;&gt;"",'Clockify Raw'!D350,'Clockify Raw'!A350))))</f>
        <v/>
      </c>
      <c r="F350" s="24" t="str">
        <f>IF('Clockify Raw'!O350="","",'Clockify Raw'!O350/24)</f>
        <v/>
      </c>
      <c r="G350" t="str">
        <f>IF(A350="","",COUNTIFS($A$2:$A$1000,A350,$B$2:$B$1000,"&lt;"&amp;B350)+COUNTIFS($A$2:A350,A350,$B$2:B350,B350))</f>
        <v/>
      </c>
      <c r="H350" t="str">
        <f t="shared" si="5"/>
        <v/>
      </c>
    </row>
    <row r="351" spans="1:8">
      <c r="A351" s="25" t="str">
        <f>IF('Clockify Raw'!J351="","",'Clockify Raw'!J351)</f>
        <v/>
      </c>
      <c r="B351" s="23" t="str">
        <f>IF('Clockify Raw'!K351="","",VALUE('Clockify Raw'!K351))</f>
        <v/>
      </c>
      <c r="C351" s="23" t="str">
        <f>IF('Clockify Raw'!M351="","",VALUE('Clockify Raw'!M351))</f>
        <v/>
      </c>
      <c r="D351" t="str">
        <f>IF('Clockify Raw'!A351="","",IF(LOWER('Clockify Raw'!A351)="break","Break","Work"))</f>
        <v/>
      </c>
      <c r="E351" t="str">
        <f>IF('Clockify Raw'!A351="","",IF(LOWER('Clockify Raw'!A351)="break","Break",IF('Clockify Raw'!C351&lt;&gt;"",'Clockify Raw'!C351,IF('Clockify Raw'!D351&lt;&gt;"",'Clockify Raw'!D351,'Clockify Raw'!A351))))</f>
        <v/>
      </c>
      <c r="F351" s="24" t="str">
        <f>IF('Clockify Raw'!O351="","",'Clockify Raw'!O351/24)</f>
        <v/>
      </c>
      <c r="G351" t="str">
        <f>IF(A351="","",COUNTIFS($A$2:$A$1000,A351,$B$2:$B$1000,"&lt;"&amp;B351)+COUNTIFS($A$2:A351,A351,$B$2:B351,B351))</f>
        <v/>
      </c>
      <c r="H351" t="str">
        <f t="shared" si="5"/>
        <v/>
      </c>
    </row>
    <row r="352" spans="1:8">
      <c r="A352" s="25" t="str">
        <f>IF('Clockify Raw'!J352="","",'Clockify Raw'!J352)</f>
        <v/>
      </c>
      <c r="B352" s="23" t="str">
        <f>IF('Clockify Raw'!K352="","",VALUE('Clockify Raw'!K352))</f>
        <v/>
      </c>
      <c r="C352" s="23" t="str">
        <f>IF('Clockify Raw'!M352="","",VALUE('Clockify Raw'!M352))</f>
        <v/>
      </c>
      <c r="D352" t="str">
        <f>IF('Clockify Raw'!A352="","",IF(LOWER('Clockify Raw'!A352)="break","Break","Work"))</f>
        <v/>
      </c>
      <c r="E352" t="str">
        <f>IF('Clockify Raw'!A352="","",IF(LOWER('Clockify Raw'!A352)="break","Break",IF('Clockify Raw'!C352&lt;&gt;"",'Clockify Raw'!C352,IF('Clockify Raw'!D352&lt;&gt;"",'Clockify Raw'!D352,'Clockify Raw'!A352))))</f>
        <v/>
      </c>
      <c r="F352" s="24" t="str">
        <f>IF('Clockify Raw'!O352="","",'Clockify Raw'!O352/24)</f>
        <v/>
      </c>
      <c r="G352" t="str">
        <f>IF(A352="","",COUNTIFS($A$2:$A$1000,A352,$B$2:$B$1000,"&lt;"&amp;B352)+COUNTIFS($A$2:A352,A352,$B$2:B352,B352))</f>
        <v/>
      </c>
      <c r="H352" t="str">
        <f t="shared" si="5"/>
        <v/>
      </c>
    </row>
    <row r="353" spans="1:8">
      <c r="A353" s="25" t="str">
        <f>IF('Clockify Raw'!J353="","",'Clockify Raw'!J353)</f>
        <v/>
      </c>
      <c r="B353" s="23" t="str">
        <f>IF('Clockify Raw'!K353="","",VALUE('Clockify Raw'!K353))</f>
        <v/>
      </c>
      <c r="C353" s="23" t="str">
        <f>IF('Clockify Raw'!M353="","",VALUE('Clockify Raw'!M353))</f>
        <v/>
      </c>
      <c r="D353" t="str">
        <f>IF('Clockify Raw'!A353="","",IF(LOWER('Clockify Raw'!A353)="break","Break","Work"))</f>
        <v/>
      </c>
      <c r="E353" t="str">
        <f>IF('Clockify Raw'!A353="","",IF(LOWER('Clockify Raw'!A353)="break","Break",IF('Clockify Raw'!C353&lt;&gt;"",'Clockify Raw'!C353,IF('Clockify Raw'!D353&lt;&gt;"",'Clockify Raw'!D353,'Clockify Raw'!A353))))</f>
        <v/>
      </c>
      <c r="F353" s="24" t="str">
        <f>IF('Clockify Raw'!O353="","",'Clockify Raw'!O353/24)</f>
        <v/>
      </c>
      <c r="G353" t="str">
        <f>IF(A353="","",COUNTIFS($A$2:$A$1000,A353,$B$2:$B$1000,"&lt;"&amp;B353)+COUNTIFS($A$2:A353,A353,$B$2:B353,B353))</f>
        <v/>
      </c>
      <c r="H353" t="str">
        <f t="shared" si="5"/>
        <v/>
      </c>
    </row>
    <row r="354" spans="1:8">
      <c r="A354" s="25" t="str">
        <f>IF('Clockify Raw'!J354="","",'Clockify Raw'!J354)</f>
        <v/>
      </c>
      <c r="B354" s="23" t="str">
        <f>IF('Clockify Raw'!K354="","",VALUE('Clockify Raw'!K354))</f>
        <v/>
      </c>
      <c r="C354" s="23" t="str">
        <f>IF('Clockify Raw'!M354="","",VALUE('Clockify Raw'!M354))</f>
        <v/>
      </c>
      <c r="D354" t="str">
        <f>IF('Clockify Raw'!A354="","",IF(LOWER('Clockify Raw'!A354)="break","Break","Work"))</f>
        <v/>
      </c>
      <c r="E354" t="str">
        <f>IF('Clockify Raw'!A354="","",IF(LOWER('Clockify Raw'!A354)="break","Break",IF('Clockify Raw'!C354&lt;&gt;"",'Clockify Raw'!C354,IF('Clockify Raw'!D354&lt;&gt;"",'Clockify Raw'!D354,'Clockify Raw'!A354))))</f>
        <v/>
      </c>
      <c r="F354" s="24" t="str">
        <f>IF('Clockify Raw'!O354="","",'Clockify Raw'!O354/24)</f>
        <v/>
      </c>
      <c r="G354" t="str">
        <f>IF(A354="","",COUNTIFS($A$2:$A$1000,A354,$B$2:$B$1000,"&lt;"&amp;B354)+COUNTIFS($A$2:A354,A354,$B$2:B354,B354))</f>
        <v/>
      </c>
      <c r="H354" t="str">
        <f t="shared" si="5"/>
        <v/>
      </c>
    </row>
    <row r="355" spans="1:8">
      <c r="A355" s="25" t="str">
        <f>IF('Clockify Raw'!J355="","",'Clockify Raw'!J355)</f>
        <v/>
      </c>
      <c r="B355" s="23" t="str">
        <f>IF('Clockify Raw'!K355="","",VALUE('Clockify Raw'!K355))</f>
        <v/>
      </c>
      <c r="C355" s="23" t="str">
        <f>IF('Clockify Raw'!M355="","",VALUE('Clockify Raw'!M355))</f>
        <v/>
      </c>
      <c r="D355" t="str">
        <f>IF('Clockify Raw'!A355="","",IF(LOWER('Clockify Raw'!A355)="break","Break","Work"))</f>
        <v/>
      </c>
      <c r="E355" t="str">
        <f>IF('Clockify Raw'!A355="","",IF(LOWER('Clockify Raw'!A355)="break","Break",IF('Clockify Raw'!C355&lt;&gt;"",'Clockify Raw'!C355,IF('Clockify Raw'!D355&lt;&gt;"",'Clockify Raw'!D355,'Clockify Raw'!A355))))</f>
        <v/>
      </c>
      <c r="F355" s="24" t="str">
        <f>IF('Clockify Raw'!O355="","",'Clockify Raw'!O355/24)</f>
        <v/>
      </c>
      <c r="G355" t="str">
        <f>IF(A355="","",COUNTIFS($A$2:$A$1000,A355,$B$2:$B$1000,"&lt;"&amp;B355)+COUNTIFS($A$2:A355,A355,$B$2:B355,B355))</f>
        <v/>
      </c>
      <c r="H355" t="str">
        <f t="shared" si="5"/>
        <v/>
      </c>
    </row>
    <row r="356" spans="1:8">
      <c r="A356" s="25" t="str">
        <f>IF('Clockify Raw'!J356="","",'Clockify Raw'!J356)</f>
        <v/>
      </c>
      <c r="B356" s="23" t="str">
        <f>IF('Clockify Raw'!K356="","",VALUE('Clockify Raw'!K356))</f>
        <v/>
      </c>
      <c r="C356" s="23" t="str">
        <f>IF('Clockify Raw'!M356="","",VALUE('Clockify Raw'!M356))</f>
        <v/>
      </c>
      <c r="D356" t="str">
        <f>IF('Clockify Raw'!A356="","",IF(LOWER('Clockify Raw'!A356)="break","Break","Work"))</f>
        <v/>
      </c>
      <c r="E356" t="str">
        <f>IF('Clockify Raw'!A356="","",IF(LOWER('Clockify Raw'!A356)="break","Break",IF('Clockify Raw'!C356&lt;&gt;"",'Clockify Raw'!C356,IF('Clockify Raw'!D356&lt;&gt;"",'Clockify Raw'!D356,'Clockify Raw'!A356))))</f>
        <v/>
      </c>
      <c r="F356" s="24" t="str">
        <f>IF('Clockify Raw'!O356="","",'Clockify Raw'!O356/24)</f>
        <v/>
      </c>
      <c r="G356" t="str">
        <f>IF(A356="","",COUNTIFS($A$2:$A$1000,A356,$B$2:$B$1000,"&lt;"&amp;B356)+COUNTIFS($A$2:A356,A356,$B$2:B356,B356))</f>
        <v/>
      </c>
      <c r="H356" t="str">
        <f t="shared" si="5"/>
        <v/>
      </c>
    </row>
    <row r="357" spans="1:8">
      <c r="A357" s="25" t="str">
        <f>IF('Clockify Raw'!J357="","",'Clockify Raw'!J357)</f>
        <v/>
      </c>
      <c r="B357" s="23" t="str">
        <f>IF('Clockify Raw'!K357="","",VALUE('Clockify Raw'!K357))</f>
        <v/>
      </c>
      <c r="C357" s="23" t="str">
        <f>IF('Clockify Raw'!M357="","",VALUE('Clockify Raw'!M357))</f>
        <v/>
      </c>
      <c r="D357" t="str">
        <f>IF('Clockify Raw'!A357="","",IF(LOWER('Clockify Raw'!A357)="break","Break","Work"))</f>
        <v/>
      </c>
      <c r="E357" t="str">
        <f>IF('Clockify Raw'!A357="","",IF(LOWER('Clockify Raw'!A357)="break","Break",IF('Clockify Raw'!C357&lt;&gt;"",'Clockify Raw'!C357,IF('Clockify Raw'!D357&lt;&gt;"",'Clockify Raw'!D357,'Clockify Raw'!A357))))</f>
        <v/>
      </c>
      <c r="F357" s="24" t="str">
        <f>IF('Clockify Raw'!O357="","",'Clockify Raw'!O357/24)</f>
        <v/>
      </c>
      <c r="G357" t="str">
        <f>IF(A357="","",COUNTIFS($A$2:$A$1000,A357,$B$2:$B$1000,"&lt;"&amp;B357)+COUNTIFS($A$2:A357,A357,$B$2:B357,B357))</f>
        <v/>
      </c>
      <c r="H357" t="str">
        <f t="shared" si="5"/>
        <v/>
      </c>
    </row>
    <row r="358" spans="1:8">
      <c r="A358" s="25" t="str">
        <f>IF('Clockify Raw'!J358="","",'Clockify Raw'!J358)</f>
        <v/>
      </c>
      <c r="B358" s="23" t="str">
        <f>IF('Clockify Raw'!K358="","",VALUE('Clockify Raw'!K358))</f>
        <v/>
      </c>
      <c r="C358" s="23" t="str">
        <f>IF('Clockify Raw'!M358="","",VALUE('Clockify Raw'!M358))</f>
        <v/>
      </c>
      <c r="D358" t="str">
        <f>IF('Clockify Raw'!A358="","",IF(LOWER('Clockify Raw'!A358)="break","Break","Work"))</f>
        <v/>
      </c>
      <c r="E358" t="str">
        <f>IF('Clockify Raw'!A358="","",IF(LOWER('Clockify Raw'!A358)="break","Break",IF('Clockify Raw'!C358&lt;&gt;"",'Clockify Raw'!C358,IF('Clockify Raw'!D358&lt;&gt;"",'Clockify Raw'!D358,'Clockify Raw'!A358))))</f>
        <v/>
      </c>
      <c r="F358" s="24" t="str">
        <f>IF('Clockify Raw'!O358="","",'Clockify Raw'!O358/24)</f>
        <v/>
      </c>
      <c r="G358" t="str">
        <f>IF(A358="","",COUNTIFS($A$2:$A$1000,A358,$B$2:$B$1000,"&lt;"&amp;B358)+COUNTIFS($A$2:A358,A358,$B$2:B358,B358))</f>
        <v/>
      </c>
      <c r="H358" t="str">
        <f t="shared" si="5"/>
        <v/>
      </c>
    </row>
    <row r="359" spans="1:8">
      <c r="A359" s="25" t="str">
        <f>IF('Clockify Raw'!J359="","",'Clockify Raw'!J359)</f>
        <v/>
      </c>
      <c r="B359" s="23" t="str">
        <f>IF('Clockify Raw'!K359="","",VALUE('Clockify Raw'!K359))</f>
        <v/>
      </c>
      <c r="C359" s="23" t="str">
        <f>IF('Clockify Raw'!M359="","",VALUE('Clockify Raw'!M359))</f>
        <v/>
      </c>
      <c r="D359" t="str">
        <f>IF('Clockify Raw'!A359="","",IF(LOWER('Clockify Raw'!A359)="break","Break","Work"))</f>
        <v/>
      </c>
      <c r="E359" t="str">
        <f>IF('Clockify Raw'!A359="","",IF(LOWER('Clockify Raw'!A359)="break","Break",IF('Clockify Raw'!C359&lt;&gt;"",'Clockify Raw'!C359,IF('Clockify Raw'!D359&lt;&gt;"",'Clockify Raw'!D359,'Clockify Raw'!A359))))</f>
        <v/>
      </c>
      <c r="F359" s="24" t="str">
        <f>IF('Clockify Raw'!O359="","",'Clockify Raw'!O359/24)</f>
        <v/>
      </c>
      <c r="G359" t="str">
        <f>IF(A359="","",COUNTIFS($A$2:$A$1000,A359,$B$2:$B$1000,"&lt;"&amp;B359)+COUNTIFS($A$2:A359,A359,$B$2:B359,B359))</f>
        <v/>
      </c>
      <c r="H359" t="str">
        <f t="shared" si="5"/>
        <v/>
      </c>
    </row>
    <row r="360" spans="1:8">
      <c r="A360" s="25" t="str">
        <f>IF('Clockify Raw'!J360="","",'Clockify Raw'!J360)</f>
        <v/>
      </c>
      <c r="B360" s="23" t="str">
        <f>IF('Clockify Raw'!K360="","",VALUE('Clockify Raw'!K360))</f>
        <v/>
      </c>
      <c r="C360" s="23" t="str">
        <f>IF('Clockify Raw'!M360="","",VALUE('Clockify Raw'!M360))</f>
        <v/>
      </c>
      <c r="D360" t="str">
        <f>IF('Clockify Raw'!A360="","",IF(LOWER('Clockify Raw'!A360)="break","Break","Work"))</f>
        <v/>
      </c>
      <c r="E360" t="str">
        <f>IF('Clockify Raw'!A360="","",IF(LOWER('Clockify Raw'!A360)="break","Break",IF('Clockify Raw'!C360&lt;&gt;"",'Clockify Raw'!C360,IF('Clockify Raw'!D360&lt;&gt;"",'Clockify Raw'!D360,'Clockify Raw'!A360))))</f>
        <v/>
      </c>
      <c r="F360" s="24" t="str">
        <f>IF('Clockify Raw'!O360="","",'Clockify Raw'!O360/24)</f>
        <v/>
      </c>
      <c r="G360" t="str">
        <f>IF(A360="","",COUNTIFS($A$2:$A$1000,A360,$B$2:$B$1000,"&lt;"&amp;B360)+COUNTIFS($A$2:A360,A360,$B$2:B360,B360))</f>
        <v/>
      </c>
      <c r="H360" t="str">
        <f t="shared" si="5"/>
        <v/>
      </c>
    </row>
    <row r="361" spans="1:8">
      <c r="A361" s="25" t="str">
        <f>IF('Clockify Raw'!J361="","",'Clockify Raw'!J361)</f>
        <v/>
      </c>
      <c r="B361" s="23" t="str">
        <f>IF('Clockify Raw'!K361="","",VALUE('Clockify Raw'!K361))</f>
        <v/>
      </c>
      <c r="C361" s="23" t="str">
        <f>IF('Clockify Raw'!M361="","",VALUE('Clockify Raw'!M361))</f>
        <v/>
      </c>
      <c r="D361" t="str">
        <f>IF('Clockify Raw'!A361="","",IF(LOWER('Clockify Raw'!A361)="break","Break","Work"))</f>
        <v/>
      </c>
      <c r="E361" t="str">
        <f>IF('Clockify Raw'!A361="","",IF(LOWER('Clockify Raw'!A361)="break","Break",IF('Clockify Raw'!C361&lt;&gt;"",'Clockify Raw'!C361,IF('Clockify Raw'!D361&lt;&gt;"",'Clockify Raw'!D361,'Clockify Raw'!A361))))</f>
        <v/>
      </c>
      <c r="F361" s="24" t="str">
        <f>IF('Clockify Raw'!O361="","",'Clockify Raw'!O361/24)</f>
        <v/>
      </c>
      <c r="G361" t="str">
        <f>IF(A361="","",COUNTIFS($A$2:$A$1000,A361,$B$2:$B$1000,"&lt;"&amp;B361)+COUNTIFS($A$2:A361,A361,$B$2:B361,B361))</f>
        <v/>
      </c>
      <c r="H361" t="str">
        <f t="shared" si="5"/>
        <v/>
      </c>
    </row>
    <row r="362" spans="1:8">
      <c r="A362" s="25" t="str">
        <f>IF('Clockify Raw'!J362="","",'Clockify Raw'!J362)</f>
        <v/>
      </c>
      <c r="B362" s="23" t="str">
        <f>IF('Clockify Raw'!K362="","",VALUE('Clockify Raw'!K362))</f>
        <v/>
      </c>
      <c r="C362" s="23" t="str">
        <f>IF('Clockify Raw'!M362="","",VALUE('Clockify Raw'!M362))</f>
        <v/>
      </c>
      <c r="D362" t="str">
        <f>IF('Clockify Raw'!A362="","",IF(LOWER('Clockify Raw'!A362)="break","Break","Work"))</f>
        <v/>
      </c>
      <c r="E362" t="str">
        <f>IF('Clockify Raw'!A362="","",IF(LOWER('Clockify Raw'!A362)="break","Break",IF('Clockify Raw'!C362&lt;&gt;"",'Clockify Raw'!C362,IF('Clockify Raw'!D362&lt;&gt;"",'Clockify Raw'!D362,'Clockify Raw'!A362))))</f>
        <v/>
      </c>
      <c r="F362" s="24" t="str">
        <f>IF('Clockify Raw'!O362="","",'Clockify Raw'!O362/24)</f>
        <v/>
      </c>
      <c r="G362" t="str">
        <f>IF(A362="","",COUNTIFS($A$2:$A$1000,A362,$B$2:$B$1000,"&lt;"&amp;B362)+COUNTIFS($A$2:A362,A362,$B$2:B362,B362))</f>
        <v/>
      </c>
      <c r="H362" t="str">
        <f t="shared" si="5"/>
        <v/>
      </c>
    </row>
    <row r="363" spans="1:8">
      <c r="A363" s="25" t="str">
        <f>IF('Clockify Raw'!J363="","",'Clockify Raw'!J363)</f>
        <v/>
      </c>
      <c r="B363" s="23" t="str">
        <f>IF('Clockify Raw'!K363="","",VALUE('Clockify Raw'!K363))</f>
        <v/>
      </c>
      <c r="C363" s="23" t="str">
        <f>IF('Clockify Raw'!M363="","",VALUE('Clockify Raw'!M363))</f>
        <v/>
      </c>
      <c r="D363" t="str">
        <f>IF('Clockify Raw'!A363="","",IF(LOWER('Clockify Raw'!A363)="break","Break","Work"))</f>
        <v/>
      </c>
      <c r="E363" t="str">
        <f>IF('Clockify Raw'!A363="","",IF(LOWER('Clockify Raw'!A363)="break","Break",IF('Clockify Raw'!C363&lt;&gt;"",'Clockify Raw'!C363,IF('Clockify Raw'!D363&lt;&gt;"",'Clockify Raw'!D363,'Clockify Raw'!A363))))</f>
        <v/>
      </c>
      <c r="F363" s="24" t="str">
        <f>IF('Clockify Raw'!O363="","",'Clockify Raw'!O363/24)</f>
        <v/>
      </c>
      <c r="G363" t="str">
        <f>IF(A363="","",COUNTIFS($A$2:$A$1000,A363,$B$2:$B$1000,"&lt;"&amp;B363)+COUNTIFS($A$2:A363,A363,$B$2:B363,B363))</f>
        <v/>
      </c>
      <c r="H363" t="str">
        <f t="shared" si="5"/>
        <v/>
      </c>
    </row>
    <row r="364" spans="1:8">
      <c r="A364" s="25" t="str">
        <f>IF('Clockify Raw'!J364="","",'Clockify Raw'!J364)</f>
        <v/>
      </c>
      <c r="B364" s="23" t="str">
        <f>IF('Clockify Raw'!K364="","",VALUE('Clockify Raw'!K364))</f>
        <v/>
      </c>
      <c r="C364" s="23" t="str">
        <f>IF('Clockify Raw'!M364="","",VALUE('Clockify Raw'!M364))</f>
        <v/>
      </c>
      <c r="D364" t="str">
        <f>IF('Clockify Raw'!A364="","",IF(LOWER('Clockify Raw'!A364)="break","Break","Work"))</f>
        <v/>
      </c>
      <c r="E364" t="str">
        <f>IF('Clockify Raw'!A364="","",IF(LOWER('Clockify Raw'!A364)="break","Break",IF('Clockify Raw'!C364&lt;&gt;"",'Clockify Raw'!C364,IF('Clockify Raw'!D364&lt;&gt;"",'Clockify Raw'!D364,'Clockify Raw'!A364))))</f>
        <v/>
      </c>
      <c r="F364" s="24" t="str">
        <f>IF('Clockify Raw'!O364="","",'Clockify Raw'!O364/24)</f>
        <v/>
      </c>
      <c r="G364" t="str">
        <f>IF(A364="","",COUNTIFS($A$2:$A$1000,A364,$B$2:$B$1000,"&lt;"&amp;B364)+COUNTIFS($A$2:A364,A364,$B$2:B364,B364))</f>
        <v/>
      </c>
      <c r="H364" t="str">
        <f t="shared" si="5"/>
        <v/>
      </c>
    </row>
    <row r="365" spans="1:8">
      <c r="A365" s="25" t="str">
        <f>IF('Clockify Raw'!J365="","",'Clockify Raw'!J365)</f>
        <v/>
      </c>
      <c r="B365" s="23" t="str">
        <f>IF('Clockify Raw'!K365="","",VALUE('Clockify Raw'!K365))</f>
        <v/>
      </c>
      <c r="C365" s="23" t="str">
        <f>IF('Clockify Raw'!M365="","",VALUE('Clockify Raw'!M365))</f>
        <v/>
      </c>
      <c r="D365" t="str">
        <f>IF('Clockify Raw'!A365="","",IF(LOWER('Clockify Raw'!A365)="break","Break","Work"))</f>
        <v/>
      </c>
      <c r="E365" t="str">
        <f>IF('Clockify Raw'!A365="","",IF(LOWER('Clockify Raw'!A365)="break","Break",IF('Clockify Raw'!C365&lt;&gt;"",'Clockify Raw'!C365,IF('Clockify Raw'!D365&lt;&gt;"",'Clockify Raw'!D365,'Clockify Raw'!A365))))</f>
        <v/>
      </c>
      <c r="F365" s="24" t="str">
        <f>IF('Clockify Raw'!O365="","",'Clockify Raw'!O365/24)</f>
        <v/>
      </c>
      <c r="G365" t="str">
        <f>IF(A365="","",COUNTIFS($A$2:$A$1000,A365,$B$2:$B$1000,"&lt;"&amp;B365)+COUNTIFS($A$2:A365,A365,$B$2:B365,B365))</f>
        <v/>
      </c>
      <c r="H365" t="str">
        <f t="shared" si="5"/>
        <v/>
      </c>
    </row>
    <row r="366" spans="1:8">
      <c r="A366" s="25" t="str">
        <f>IF('Clockify Raw'!J366="","",'Clockify Raw'!J366)</f>
        <v/>
      </c>
      <c r="B366" s="23" t="str">
        <f>IF('Clockify Raw'!K366="","",VALUE('Clockify Raw'!K366))</f>
        <v/>
      </c>
      <c r="C366" s="23" t="str">
        <f>IF('Clockify Raw'!M366="","",VALUE('Clockify Raw'!M366))</f>
        <v/>
      </c>
      <c r="D366" t="str">
        <f>IF('Clockify Raw'!A366="","",IF(LOWER('Clockify Raw'!A366)="break","Break","Work"))</f>
        <v/>
      </c>
      <c r="E366" t="str">
        <f>IF('Clockify Raw'!A366="","",IF(LOWER('Clockify Raw'!A366)="break","Break",IF('Clockify Raw'!C366&lt;&gt;"",'Clockify Raw'!C366,IF('Clockify Raw'!D366&lt;&gt;"",'Clockify Raw'!D366,'Clockify Raw'!A366))))</f>
        <v/>
      </c>
      <c r="F366" s="24" t="str">
        <f>IF('Clockify Raw'!O366="","",'Clockify Raw'!O366/24)</f>
        <v/>
      </c>
      <c r="G366" t="str">
        <f>IF(A366="","",COUNTIFS($A$2:$A$1000,A366,$B$2:$B$1000,"&lt;"&amp;B366)+COUNTIFS($A$2:A366,A366,$B$2:B366,B366))</f>
        <v/>
      </c>
      <c r="H366" t="str">
        <f t="shared" si="5"/>
        <v/>
      </c>
    </row>
    <row r="367" spans="1:8">
      <c r="A367" s="25" t="str">
        <f>IF('Clockify Raw'!J367="","",'Clockify Raw'!J367)</f>
        <v/>
      </c>
      <c r="B367" s="23" t="str">
        <f>IF('Clockify Raw'!K367="","",VALUE('Clockify Raw'!K367))</f>
        <v/>
      </c>
      <c r="C367" s="23" t="str">
        <f>IF('Clockify Raw'!M367="","",VALUE('Clockify Raw'!M367))</f>
        <v/>
      </c>
      <c r="D367" t="str">
        <f>IF('Clockify Raw'!A367="","",IF(LOWER('Clockify Raw'!A367)="break","Break","Work"))</f>
        <v/>
      </c>
      <c r="E367" t="str">
        <f>IF('Clockify Raw'!A367="","",IF(LOWER('Clockify Raw'!A367)="break","Break",IF('Clockify Raw'!C367&lt;&gt;"",'Clockify Raw'!C367,IF('Clockify Raw'!D367&lt;&gt;"",'Clockify Raw'!D367,'Clockify Raw'!A367))))</f>
        <v/>
      </c>
      <c r="F367" s="24" t="str">
        <f>IF('Clockify Raw'!O367="","",'Clockify Raw'!O367/24)</f>
        <v/>
      </c>
      <c r="G367" t="str">
        <f>IF(A367="","",COUNTIFS($A$2:$A$1000,A367,$B$2:$B$1000,"&lt;"&amp;B367)+COUNTIFS($A$2:A367,A367,$B$2:B367,B367))</f>
        <v/>
      </c>
      <c r="H367" t="str">
        <f t="shared" si="5"/>
        <v/>
      </c>
    </row>
    <row r="368" spans="1:8">
      <c r="A368" s="25" t="str">
        <f>IF('Clockify Raw'!J368="","",'Clockify Raw'!J368)</f>
        <v/>
      </c>
      <c r="B368" s="23" t="str">
        <f>IF('Clockify Raw'!K368="","",VALUE('Clockify Raw'!K368))</f>
        <v/>
      </c>
      <c r="C368" s="23" t="str">
        <f>IF('Clockify Raw'!M368="","",VALUE('Clockify Raw'!M368))</f>
        <v/>
      </c>
      <c r="D368" t="str">
        <f>IF('Clockify Raw'!A368="","",IF(LOWER('Clockify Raw'!A368)="break","Break","Work"))</f>
        <v/>
      </c>
      <c r="E368" t="str">
        <f>IF('Clockify Raw'!A368="","",IF(LOWER('Clockify Raw'!A368)="break","Break",IF('Clockify Raw'!C368&lt;&gt;"",'Clockify Raw'!C368,IF('Clockify Raw'!D368&lt;&gt;"",'Clockify Raw'!D368,'Clockify Raw'!A368))))</f>
        <v/>
      </c>
      <c r="F368" s="24" t="str">
        <f>IF('Clockify Raw'!O368="","",'Clockify Raw'!O368/24)</f>
        <v/>
      </c>
      <c r="G368" t="str">
        <f>IF(A368="","",COUNTIFS($A$2:$A$1000,A368,$B$2:$B$1000,"&lt;"&amp;B368)+COUNTIFS($A$2:A368,A368,$B$2:B368,B368))</f>
        <v/>
      </c>
      <c r="H368" t="str">
        <f t="shared" si="5"/>
        <v/>
      </c>
    </row>
    <row r="369" spans="1:8">
      <c r="A369" s="25" t="str">
        <f>IF('Clockify Raw'!J369="","",'Clockify Raw'!J369)</f>
        <v/>
      </c>
      <c r="B369" s="23" t="str">
        <f>IF('Clockify Raw'!K369="","",VALUE('Clockify Raw'!K369))</f>
        <v/>
      </c>
      <c r="C369" s="23" t="str">
        <f>IF('Clockify Raw'!M369="","",VALUE('Clockify Raw'!M369))</f>
        <v/>
      </c>
      <c r="D369" t="str">
        <f>IF('Clockify Raw'!A369="","",IF(LOWER('Clockify Raw'!A369)="break","Break","Work"))</f>
        <v/>
      </c>
      <c r="E369" t="str">
        <f>IF('Clockify Raw'!A369="","",IF(LOWER('Clockify Raw'!A369)="break","Break",IF('Clockify Raw'!C369&lt;&gt;"",'Clockify Raw'!C369,IF('Clockify Raw'!D369&lt;&gt;"",'Clockify Raw'!D369,'Clockify Raw'!A369))))</f>
        <v/>
      </c>
      <c r="F369" s="24" t="str">
        <f>IF('Clockify Raw'!O369="","",'Clockify Raw'!O369/24)</f>
        <v/>
      </c>
      <c r="G369" t="str">
        <f>IF(A369="","",COUNTIFS($A$2:$A$1000,A369,$B$2:$B$1000,"&lt;"&amp;B369)+COUNTIFS($A$2:A369,A369,$B$2:B369,B369))</f>
        <v/>
      </c>
      <c r="H369" t="str">
        <f t="shared" si="5"/>
        <v/>
      </c>
    </row>
    <row r="370" spans="1:8">
      <c r="A370" s="25" t="str">
        <f>IF('Clockify Raw'!J370="","",'Clockify Raw'!J370)</f>
        <v/>
      </c>
      <c r="B370" s="23" t="str">
        <f>IF('Clockify Raw'!K370="","",VALUE('Clockify Raw'!K370))</f>
        <v/>
      </c>
      <c r="C370" s="23" t="str">
        <f>IF('Clockify Raw'!M370="","",VALUE('Clockify Raw'!M370))</f>
        <v/>
      </c>
      <c r="D370" t="str">
        <f>IF('Clockify Raw'!A370="","",IF(LOWER('Clockify Raw'!A370)="break","Break","Work"))</f>
        <v/>
      </c>
      <c r="E370" t="str">
        <f>IF('Clockify Raw'!A370="","",IF(LOWER('Clockify Raw'!A370)="break","Break",IF('Clockify Raw'!C370&lt;&gt;"",'Clockify Raw'!C370,IF('Clockify Raw'!D370&lt;&gt;"",'Clockify Raw'!D370,'Clockify Raw'!A370))))</f>
        <v/>
      </c>
      <c r="F370" s="24" t="str">
        <f>IF('Clockify Raw'!O370="","",'Clockify Raw'!O370/24)</f>
        <v/>
      </c>
      <c r="G370" t="str">
        <f>IF(A370="","",COUNTIFS($A$2:$A$1000,A370,$B$2:$B$1000,"&lt;"&amp;B370)+COUNTIFS($A$2:A370,A370,$B$2:B370,B370))</f>
        <v/>
      </c>
      <c r="H370" t="str">
        <f t="shared" si="5"/>
        <v/>
      </c>
    </row>
    <row r="371" spans="1:8">
      <c r="A371" s="25" t="str">
        <f>IF('Clockify Raw'!J371="","",'Clockify Raw'!J371)</f>
        <v/>
      </c>
      <c r="B371" s="23" t="str">
        <f>IF('Clockify Raw'!K371="","",VALUE('Clockify Raw'!K371))</f>
        <v/>
      </c>
      <c r="C371" s="23" t="str">
        <f>IF('Clockify Raw'!M371="","",VALUE('Clockify Raw'!M371))</f>
        <v/>
      </c>
      <c r="D371" t="str">
        <f>IF('Clockify Raw'!A371="","",IF(LOWER('Clockify Raw'!A371)="break","Break","Work"))</f>
        <v/>
      </c>
      <c r="E371" t="str">
        <f>IF('Clockify Raw'!A371="","",IF(LOWER('Clockify Raw'!A371)="break","Break",IF('Clockify Raw'!C371&lt;&gt;"",'Clockify Raw'!C371,IF('Clockify Raw'!D371&lt;&gt;"",'Clockify Raw'!D371,'Clockify Raw'!A371))))</f>
        <v/>
      </c>
      <c r="F371" s="24" t="str">
        <f>IF('Clockify Raw'!O371="","",'Clockify Raw'!O371/24)</f>
        <v/>
      </c>
      <c r="G371" t="str">
        <f>IF(A371="","",COUNTIFS($A$2:$A$1000,A371,$B$2:$B$1000,"&lt;"&amp;B371)+COUNTIFS($A$2:A371,A371,$B$2:B371,B371))</f>
        <v/>
      </c>
      <c r="H371" t="str">
        <f t="shared" si="5"/>
        <v/>
      </c>
    </row>
    <row r="372" spans="1:8">
      <c r="A372" s="25" t="str">
        <f>IF('Clockify Raw'!J372="","",'Clockify Raw'!J372)</f>
        <v/>
      </c>
      <c r="B372" s="23" t="str">
        <f>IF('Clockify Raw'!K372="","",VALUE('Clockify Raw'!K372))</f>
        <v/>
      </c>
      <c r="C372" s="23" t="str">
        <f>IF('Clockify Raw'!M372="","",VALUE('Clockify Raw'!M372))</f>
        <v/>
      </c>
      <c r="D372" t="str">
        <f>IF('Clockify Raw'!A372="","",IF(LOWER('Clockify Raw'!A372)="break","Break","Work"))</f>
        <v/>
      </c>
      <c r="E372" t="str">
        <f>IF('Clockify Raw'!A372="","",IF(LOWER('Clockify Raw'!A372)="break","Break",IF('Clockify Raw'!C372&lt;&gt;"",'Clockify Raw'!C372,IF('Clockify Raw'!D372&lt;&gt;"",'Clockify Raw'!D372,'Clockify Raw'!A372))))</f>
        <v/>
      </c>
      <c r="F372" s="24" t="str">
        <f>IF('Clockify Raw'!O372="","",'Clockify Raw'!O372/24)</f>
        <v/>
      </c>
      <c r="G372" t="str">
        <f>IF(A372="","",COUNTIFS($A$2:$A$1000,A372,$B$2:$B$1000,"&lt;"&amp;B372)+COUNTIFS($A$2:A372,A372,$B$2:B372,B372))</f>
        <v/>
      </c>
      <c r="H372" t="str">
        <f t="shared" si="5"/>
        <v/>
      </c>
    </row>
    <row r="373" spans="1:8">
      <c r="A373" s="25" t="str">
        <f>IF('Clockify Raw'!J373="","",'Clockify Raw'!J373)</f>
        <v/>
      </c>
      <c r="B373" s="23" t="str">
        <f>IF('Clockify Raw'!K373="","",VALUE('Clockify Raw'!K373))</f>
        <v/>
      </c>
      <c r="C373" s="23" t="str">
        <f>IF('Clockify Raw'!M373="","",VALUE('Clockify Raw'!M373))</f>
        <v/>
      </c>
      <c r="D373" t="str">
        <f>IF('Clockify Raw'!A373="","",IF(LOWER('Clockify Raw'!A373)="break","Break","Work"))</f>
        <v/>
      </c>
      <c r="E373" t="str">
        <f>IF('Clockify Raw'!A373="","",IF(LOWER('Clockify Raw'!A373)="break","Break",IF('Clockify Raw'!C373&lt;&gt;"",'Clockify Raw'!C373,IF('Clockify Raw'!D373&lt;&gt;"",'Clockify Raw'!D373,'Clockify Raw'!A373))))</f>
        <v/>
      </c>
      <c r="F373" s="24" t="str">
        <f>IF('Clockify Raw'!O373="","",'Clockify Raw'!O373/24)</f>
        <v/>
      </c>
      <c r="G373" t="str">
        <f>IF(A373="","",COUNTIFS($A$2:$A$1000,A373,$B$2:$B$1000,"&lt;"&amp;B373)+COUNTIFS($A$2:A373,A373,$B$2:B373,B373))</f>
        <v/>
      </c>
      <c r="H373" t="str">
        <f t="shared" si="5"/>
        <v/>
      </c>
    </row>
    <row r="374" spans="1:8">
      <c r="A374" s="25" t="str">
        <f>IF('Clockify Raw'!J374="","",'Clockify Raw'!J374)</f>
        <v/>
      </c>
      <c r="B374" s="23" t="str">
        <f>IF('Clockify Raw'!K374="","",VALUE('Clockify Raw'!K374))</f>
        <v/>
      </c>
      <c r="C374" s="23" t="str">
        <f>IF('Clockify Raw'!M374="","",VALUE('Clockify Raw'!M374))</f>
        <v/>
      </c>
      <c r="D374" t="str">
        <f>IF('Clockify Raw'!A374="","",IF(LOWER('Clockify Raw'!A374)="break","Break","Work"))</f>
        <v/>
      </c>
      <c r="E374" t="str">
        <f>IF('Clockify Raw'!A374="","",IF(LOWER('Clockify Raw'!A374)="break","Break",IF('Clockify Raw'!C374&lt;&gt;"",'Clockify Raw'!C374,IF('Clockify Raw'!D374&lt;&gt;"",'Clockify Raw'!D374,'Clockify Raw'!A374))))</f>
        <v/>
      </c>
      <c r="F374" s="24" t="str">
        <f>IF('Clockify Raw'!O374="","",'Clockify Raw'!O374/24)</f>
        <v/>
      </c>
      <c r="G374" t="str">
        <f>IF(A374="","",COUNTIFS($A$2:$A$1000,A374,$B$2:$B$1000,"&lt;"&amp;B374)+COUNTIFS($A$2:A374,A374,$B$2:B374,B374))</f>
        <v/>
      </c>
      <c r="H374" t="str">
        <f t="shared" si="5"/>
        <v/>
      </c>
    </row>
    <row r="375" spans="1:8">
      <c r="A375" s="25" t="str">
        <f>IF('Clockify Raw'!J375="","",'Clockify Raw'!J375)</f>
        <v/>
      </c>
      <c r="B375" s="23" t="str">
        <f>IF('Clockify Raw'!K375="","",VALUE('Clockify Raw'!K375))</f>
        <v/>
      </c>
      <c r="C375" s="23" t="str">
        <f>IF('Clockify Raw'!M375="","",VALUE('Clockify Raw'!M375))</f>
        <v/>
      </c>
      <c r="D375" t="str">
        <f>IF('Clockify Raw'!A375="","",IF(LOWER('Clockify Raw'!A375)="break","Break","Work"))</f>
        <v/>
      </c>
      <c r="E375" t="str">
        <f>IF('Clockify Raw'!A375="","",IF(LOWER('Clockify Raw'!A375)="break","Break",IF('Clockify Raw'!C375&lt;&gt;"",'Clockify Raw'!C375,IF('Clockify Raw'!D375&lt;&gt;"",'Clockify Raw'!D375,'Clockify Raw'!A375))))</f>
        <v/>
      </c>
      <c r="F375" s="24" t="str">
        <f>IF('Clockify Raw'!O375="","",'Clockify Raw'!O375/24)</f>
        <v/>
      </c>
      <c r="G375" t="str">
        <f>IF(A375="","",COUNTIFS($A$2:$A$1000,A375,$B$2:$B$1000,"&lt;"&amp;B375)+COUNTIFS($A$2:A375,A375,$B$2:B375,B375))</f>
        <v/>
      </c>
      <c r="H375" t="str">
        <f t="shared" si="5"/>
        <v/>
      </c>
    </row>
    <row r="376" spans="1:8">
      <c r="A376" s="25" t="str">
        <f>IF('Clockify Raw'!J376="","",'Clockify Raw'!J376)</f>
        <v/>
      </c>
      <c r="B376" s="23" t="str">
        <f>IF('Clockify Raw'!K376="","",VALUE('Clockify Raw'!K376))</f>
        <v/>
      </c>
      <c r="C376" s="23" t="str">
        <f>IF('Clockify Raw'!M376="","",VALUE('Clockify Raw'!M376))</f>
        <v/>
      </c>
      <c r="D376" t="str">
        <f>IF('Clockify Raw'!A376="","",IF(LOWER('Clockify Raw'!A376)="break","Break","Work"))</f>
        <v/>
      </c>
      <c r="E376" t="str">
        <f>IF('Clockify Raw'!A376="","",IF(LOWER('Clockify Raw'!A376)="break","Break",IF('Clockify Raw'!C376&lt;&gt;"",'Clockify Raw'!C376,IF('Clockify Raw'!D376&lt;&gt;"",'Clockify Raw'!D376,'Clockify Raw'!A376))))</f>
        <v/>
      </c>
      <c r="F376" s="24" t="str">
        <f>IF('Clockify Raw'!O376="","",'Clockify Raw'!O376/24)</f>
        <v/>
      </c>
      <c r="G376" t="str">
        <f>IF(A376="","",COUNTIFS($A$2:$A$1000,A376,$B$2:$B$1000,"&lt;"&amp;B376)+COUNTIFS($A$2:A376,A376,$B$2:B376,B376))</f>
        <v/>
      </c>
      <c r="H376" t="str">
        <f t="shared" si="5"/>
        <v/>
      </c>
    </row>
    <row r="377" spans="1:8">
      <c r="A377" s="25" t="str">
        <f>IF('Clockify Raw'!J377="","",'Clockify Raw'!J377)</f>
        <v/>
      </c>
      <c r="B377" s="23" t="str">
        <f>IF('Clockify Raw'!K377="","",VALUE('Clockify Raw'!K377))</f>
        <v/>
      </c>
      <c r="C377" s="23" t="str">
        <f>IF('Clockify Raw'!M377="","",VALUE('Clockify Raw'!M377))</f>
        <v/>
      </c>
      <c r="D377" t="str">
        <f>IF('Clockify Raw'!A377="","",IF(LOWER('Clockify Raw'!A377)="break","Break","Work"))</f>
        <v/>
      </c>
      <c r="E377" t="str">
        <f>IF('Clockify Raw'!A377="","",IF(LOWER('Clockify Raw'!A377)="break","Break",IF('Clockify Raw'!C377&lt;&gt;"",'Clockify Raw'!C377,IF('Clockify Raw'!D377&lt;&gt;"",'Clockify Raw'!D377,'Clockify Raw'!A377))))</f>
        <v/>
      </c>
      <c r="F377" s="24" t="str">
        <f>IF('Clockify Raw'!O377="","",'Clockify Raw'!O377/24)</f>
        <v/>
      </c>
      <c r="G377" t="str">
        <f>IF(A377="","",COUNTIFS($A$2:$A$1000,A377,$B$2:$B$1000,"&lt;"&amp;B377)+COUNTIFS($A$2:A377,A377,$B$2:B377,B377))</f>
        <v/>
      </c>
      <c r="H377" t="str">
        <f t="shared" si="5"/>
        <v/>
      </c>
    </row>
    <row r="378" spans="1:8">
      <c r="A378" s="25" t="str">
        <f>IF('Clockify Raw'!J378="","",'Clockify Raw'!J378)</f>
        <v/>
      </c>
      <c r="B378" s="23" t="str">
        <f>IF('Clockify Raw'!K378="","",VALUE('Clockify Raw'!K378))</f>
        <v/>
      </c>
      <c r="C378" s="23" t="str">
        <f>IF('Clockify Raw'!M378="","",VALUE('Clockify Raw'!M378))</f>
        <v/>
      </c>
      <c r="D378" t="str">
        <f>IF('Clockify Raw'!A378="","",IF(LOWER('Clockify Raw'!A378)="break","Break","Work"))</f>
        <v/>
      </c>
      <c r="E378" t="str">
        <f>IF('Clockify Raw'!A378="","",IF(LOWER('Clockify Raw'!A378)="break","Break",IF('Clockify Raw'!C378&lt;&gt;"",'Clockify Raw'!C378,IF('Clockify Raw'!D378&lt;&gt;"",'Clockify Raw'!D378,'Clockify Raw'!A378))))</f>
        <v/>
      </c>
      <c r="F378" s="24" t="str">
        <f>IF('Clockify Raw'!O378="","",'Clockify Raw'!O378/24)</f>
        <v/>
      </c>
      <c r="G378" t="str">
        <f>IF(A378="","",COUNTIFS($A$2:$A$1000,A378,$B$2:$B$1000,"&lt;"&amp;B378)+COUNTIFS($A$2:A378,A378,$B$2:B378,B378))</f>
        <v/>
      </c>
      <c r="H378" t="str">
        <f t="shared" si="5"/>
        <v/>
      </c>
    </row>
    <row r="379" spans="1:8">
      <c r="A379" s="25" t="str">
        <f>IF('Clockify Raw'!J379="","",'Clockify Raw'!J379)</f>
        <v/>
      </c>
      <c r="B379" s="23" t="str">
        <f>IF('Clockify Raw'!K379="","",VALUE('Clockify Raw'!K379))</f>
        <v/>
      </c>
      <c r="C379" s="23" t="str">
        <f>IF('Clockify Raw'!M379="","",VALUE('Clockify Raw'!M379))</f>
        <v/>
      </c>
      <c r="D379" t="str">
        <f>IF('Clockify Raw'!A379="","",IF(LOWER('Clockify Raw'!A379)="break","Break","Work"))</f>
        <v/>
      </c>
      <c r="E379" t="str">
        <f>IF('Clockify Raw'!A379="","",IF(LOWER('Clockify Raw'!A379)="break","Break",IF('Clockify Raw'!C379&lt;&gt;"",'Clockify Raw'!C379,IF('Clockify Raw'!D379&lt;&gt;"",'Clockify Raw'!D379,'Clockify Raw'!A379))))</f>
        <v/>
      </c>
      <c r="F379" s="24" t="str">
        <f>IF('Clockify Raw'!O379="","",'Clockify Raw'!O379/24)</f>
        <v/>
      </c>
      <c r="G379" t="str">
        <f>IF(A379="","",COUNTIFS($A$2:$A$1000,A379,$B$2:$B$1000,"&lt;"&amp;B379)+COUNTIFS($A$2:A379,A379,$B$2:B379,B379))</f>
        <v/>
      </c>
      <c r="H379" t="str">
        <f t="shared" si="5"/>
        <v/>
      </c>
    </row>
    <row r="380" spans="1:8">
      <c r="A380" s="25" t="str">
        <f>IF('Clockify Raw'!J380="","",'Clockify Raw'!J380)</f>
        <v/>
      </c>
      <c r="B380" s="23" t="str">
        <f>IF('Clockify Raw'!K380="","",VALUE('Clockify Raw'!K380))</f>
        <v/>
      </c>
      <c r="C380" s="23" t="str">
        <f>IF('Clockify Raw'!M380="","",VALUE('Clockify Raw'!M380))</f>
        <v/>
      </c>
      <c r="D380" t="str">
        <f>IF('Clockify Raw'!A380="","",IF(LOWER('Clockify Raw'!A380)="break","Break","Work"))</f>
        <v/>
      </c>
      <c r="E380" t="str">
        <f>IF('Clockify Raw'!A380="","",IF(LOWER('Clockify Raw'!A380)="break","Break",IF('Clockify Raw'!C380&lt;&gt;"",'Clockify Raw'!C380,IF('Clockify Raw'!D380&lt;&gt;"",'Clockify Raw'!D380,'Clockify Raw'!A380))))</f>
        <v/>
      </c>
      <c r="F380" s="24" t="str">
        <f>IF('Clockify Raw'!O380="","",'Clockify Raw'!O380/24)</f>
        <v/>
      </c>
      <c r="G380" t="str">
        <f>IF(A380="","",COUNTIFS($A$2:$A$1000,A380,$B$2:$B$1000,"&lt;"&amp;B380)+COUNTIFS($A$2:A380,A380,$B$2:B380,B380))</f>
        <v/>
      </c>
      <c r="H380" t="str">
        <f t="shared" si="5"/>
        <v/>
      </c>
    </row>
    <row r="381" spans="1:8">
      <c r="A381" s="25" t="str">
        <f>IF('Clockify Raw'!J381="","",'Clockify Raw'!J381)</f>
        <v/>
      </c>
      <c r="B381" s="23" t="str">
        <f>IF('Clockify Raw'!K381="","",VALUE('Clockify Raw'!K381))</f>
        <v/>
      </c>
      <c r="C381" s="23" t="str">
        <f>IF('Clockify Raw'!M381="","",VALUE('Clockify Raw'!M381))</f>
        <v/>
      </c>
      <c r="D381" t="str">
        <f>IF('Clockify Raw'!A381="","",IF(LOWER('Clockify Raw'!A381)="break","Break","Work"))</f>
        <v/>
      </c>
      <c r="E381" t="str">
        <f>IF('Clockify Raw'!A381="","",IF(LOWER('Clockify Raw'!A381)="break","Break",IF('Clockify Raw'!C381&lt;&gt;"",'Clockify Raw'!C381,IF('Clockify Raw'!D381&lt;&gt;"",'Clockify Raw'!D381,'Clockify Raw'!A381))))</f>
        <v/>
      </c>
      <c r="F381" s="24" t="str">
        <f>IF('Clockify Raw'!O381="","",'Clockify Raw'!O381/24)</f>
        <v/>
      </c>
      <c r="G381" t="str">
        <f>IF(A381="","",COUNTIFS($A$2:$A$1000,A381,$B$2:$B$1000,"&lt;"&amp;B381)+COUNTIFS($A$2:A381,A381,$B$2:B381,B381))</f>
        <v/>
      </c>
      <c r="H381" t="str">
        <f t="shared" si="5"/>
        <v/>
      </c>
    </row>
    <row r="382" spans="1:8">
      <c r="A382" s="25" t="str">
        <f>IF('Clockify Raw'!J382="","",'Clockify Raw'!J382)</f>
        <v/>
      </c>
      <c r="B382" s="23" t="str">
        <f>IF('Clockify Raw'!K382="","",VALUE('Clockify Raw'!K382))</f>
        <v/>
      </c>
      <c r="C382" s="23" t="str">
        <f>IF('Clockify Raw'!M382="","",VALUE('Clockify Raw'!M382))</f>
        <v/>
      </c>
      <c r="D382" t="str">
        <f>IF('Clockify Raw'!A382="","",IF(LOWER('Clockify Raw'!A382)="break","Break","Work"))</f>
        <v/>
      </c>
      <c r="E382" t="str">
        <f>IF('Clockify Raw'!A382="","",IF(LOWER('Clockify Raw'!A382)="break","Break",IF('Clockify Raw'!C382&lt;&gt;"",'Clockify Raw'!C382,IF('Clockify Raw'!D382&lt;&gt;"",'Clockify Raw'!D382,'Clockify Raw'!A382))))</f>
        <v/>
      </c>
      <c r="F382" s="24" t="str">
        <f>IF('Clockify Raw'!O382="","",'Clockify Raw'!O382/24)</f>
        <v/>
      </c>
      <c r="G382" t="str">
        <f>IF(A382="","",COUNTIFS($A$2:$A$1000,A382,$B$2:$B$1000,"&lt;"&amp;B382)+COUNTIFS($A$2:A382,A382,$B$2:B382,B382))</f>
        <v/>
      </c>
      <c r="H382" t="str">
        <f t="shared" si="5"/>
        <v/>
      </c>
    </row>
    <row r="383" spans="1:8">
      <c r="A383" s="25" t="str">
        <f>IF('Clockify Raw'!J383="","",'Clockify Raw'!J383)</f>
        <v/>
      </c>
      <c r="B383" s="23" t="str">
        <f>IF('Clockify Raw'!K383="","",VALUE('Clockify Raw'!K383))</f>
        <v/>
      </c>
      <c r="C383" s="23" t="str">
        <f>IF('Clockify Raw'!M383="","",VALUE('Clockify Raw'!M383))</f>
        <v/>
      </c>
      <c r="D383" t="str">
        <f>IF('Clockify Raw'!A383="","",IF(LOWER('Clockify Raw'!A383)="break","Break","Work"))</f>
        <v/>
      </c>
      <c r="E383" t="str">
        <f>IF('Clockify Raw'!A383="","",IF(LOWER('Clockify Raw'!A383)="break","Break",IF('Clockify Raw'!C383&lt;&gt;"",'Clockify Raw'!C383,IF('Clockify Raw'!D383&lt;&gt;"",'Clockify Raw'!D383,'Clockify Raw'!A383))))</f>
        <v/>
      </c>
      <c r="F383" s="24" t="str">
        <f>IF('Clockify Raw'!O383="","",'Clockify Raw'!O383/24)</f>
        <v/>
      </c>
      <c r="G383" t="str">
        <f>IF(A383="","",COUNTIFS($A$2:$A$1000,A383,$B$2:$B$1000,"&lt;"&amp;B383)+COUNTIFS($A$2:A383,A383,$B$2:B383,B383))</f>
        <v/>
      </c>
      <c r="H383" t="str">
        <f t="shared" si="5"/>
        <v/>
      </c>
    </row>
    <row r="384" spans="1:8">
      <c r="A384" s="25" t="str">
        <f>IF('Clockify Raw'!J384="","",'Clockify Raw'!J384)</f>
        <v/>
      </c>
      <c r="B384" s="23" t="str">
        <f>IF('Clockify Raw'!K384="","",VALUE('Clockify Raw'!K384))</f>
        <v/>
      </c>
      <c r="C384" s="23" t="str">
        <f>IF('Clockify Raw'!M384="","",VALUE('Clockify Raw'!M384))</f>
        <v/>
      </c>
      <c r="D384" t="str">
        <f>IF('Clockify Raw'!A384="","",IF(LOWER('Clockify Raw'!A384)="break","Break","Work"))</f>
        <v/>
      </c>
      <c r="E384" t="str">
        <f>IF('Clockify Raw'!A384="","",IF(LOWER('Clockify Raw'!A384)="break","Break",IF('Clockify Raw'!C384&lt;&gt;"",'Clockify Raw'!C384,IF('Clockify Raw'!D384&lt;&gt;"",'Clockify Raw'!D384,'Clockify Raw'!A384))))</f>
        <v/>
      </c>
      <c r="F384" s="24" t="str">
        <f>IF('Clockify Raw'!O384="","",'Clockify Raw'!O384/24)</f>
        <v/>
      </c>
      <c r="G384" t="str">
        <f>IF(A384="","",COUNTIFS($A$2:$A$1000,A384,$B$2:$B$1000,"&lt;"&amp;B384)+COUNTIFS($A$2:A384,A384,$B$2:B384,B384))</f>
        <v/>
      </c>
      <c r="H384" t="str">
        <f t="shared" si="5"/>
        <v/>
      </c>
    </row>
    <row r="385" spans="1:8">
      <c r="A385" s="25" t="str">
        <f>IF('Clockify Raw'!J385="","",'Clockify Raw'!J385)</f>
        <v/>
      </c>
      <c r="B385" s="23" t="str">
        <f>IF('Clockify Raw'!K385="","",VALUE('Clockify Raw'!K385))</f>
        <v/>
      </c>
      <c r="C385" s="23" t="str">
        <f>IF('Clockify Raw'!M385="","",VALUE('Clockify Raw'!M385))</f>
        <v/>
      </c>
      <c r="D385" t="str">
        <f>IF('Clockify Raw'!A385="","",IF(LOWER('Clockify Raw'!A385)="break","Break","Work"))</f>
        <v/>
      </c>
      <c r="E385" t="str">
        <f>IF('Clockify Raw'!A385="","",IF(LOWER('Clockify Raw'!A385)="break","Break",IF('Clockify Raw'!C385&lt;&gt;"",'Clockify Raw'!C385,IF('Clockify Raw'!D385&lt;&gt;"",'Clockify Raw'!D385,'Clockify Raw'!A385))))</f>
        <v/>
      </c>
      <c r="F385" s="24" t="str">
        <f>IF('Clockify Raw'!O385="","",'Clockify Raw'!O385/24)</f>
        <v/>
      </c>
      <c r="G385" t="str">
        <f>IF(A385="","",COUNTIFS($A$2:$A$1000,A385,$B$2:$B$1000,"&lt;"&amp;B385)+COUNTIFS($A$2:A385,A385,$B$2:B385,B385))</f>
        <v/>
      </c>
      <c r="H385" t="str">
        <f t="shared" si="5"/>
        <v/>
      </c>
    </row>
    <row r="386" spans="1:8">
      <c r="A386" s="25" t="str">
        <f>IF('Clockify Raw'!J386="","",'Clockify Raw'!J386)</f>
        <v/>
      </c>
      <c r="B386" s="23" t="str">
        <f>IF('Clockify Raw'!K386="","",VALUE('Clockify Raw'!K386))</f>
        <v/>
      </c>
      <c r="C386" s="23" t="str">
        <f>IF('Clockify Raw'!M386="","",VALUE('Clockify Raw'!M386))</f>
        <v/>
      </c>
      <c r="D386" t="str">
        <f>IF('Clockify Raw'!A386="","",IF(LOWER('Clockify Raw'!A386)="break","Break","Work"))</f>
        <v/>
      </c>
      <c r="E386" t="str">
        <f>IF('Clockify Raw'!A386="","",IF(LOWER('Clockify Raw'!A386)="break","Break",IF('Clockify Raw'!C386&lt;&gt;"",'Clockify Raw'!C386,IF('Clockify Raw'!D386&lt;&gt;"",'Clockify Raw'!D386,'Clockify Raw'!A386))))</f>
        <v/>
      </c>
      <c r="F386" s="24" t="str">
        <f>IF('Clockify Raw'!O386="","",'Clockify Raw'!O386/24)</f>
        <v/>
      </c>
      <c r="G386" t="str">
        <f>IF(A386="","",COUNTIFS($A$2:$A$1000,A386,$B$2:$B$1000,"&lt;"&amp;B386)+COUNTIFS($A$2:A386,A386,$B$2:B386,B386))</f>
        <v/>
      </c>
      <c r="H386" t="str">
        <f t="shared" ref="H386:H449" si="6">IF(A386="","",TEXT(A386,"yyyymmdd")&amp;"|"&amp;G386)</f>
        <v/>
      </c>
    </row>
    <row r="387" spans="1:8">
      <c r="A387" s="25" t="str">
        <f>IF('Clockify Raw'!J387="","",'Clockify Raw'!J387)</f>
        <v/>
      </c>
      <c r="B387" s="23" t="str">
        <f>IF('Clockify Raw'!K387="","",VALUE('Clockify Raw'!K387))</f>
        <v/>
      </c>
      <c r="C387" s="23" t="str">
        <f>IF('Clockify Raw'!M387="","",VALUE('Clockify Raw'!M387))</f>
        <v/>
      </c>
      <c r="D387" t="str">
        <f>IF('Clockify Raw'!A387="","",IF(LOWER('Clockify Raw'!A387)="break","Break","Work"))</f>
        <v/>
      </c>
      <c r="E387" t="str">
        <f>IF('Clockify Raw'!A387="","",IF(LOWER('Clockify Raw'!A387)="break","Break",IF('Clockify Raw'!C387&lt;&gt;"",'Clockify Raw'!C387,IF('Clockify Raw'!D387&lt;&gt;"",'Clockify Raw'!D387,'Clockify Raw'!A387))))</f>
        <v/>
      </c>
      <c r="F387" s="24" t="str">
        <f>IF('Clockify Raw'!O387="","",'Clockify Raw'!O387/24)</f>
        <v/>
      </c>
      <c r="G387" t="str">
        <f>IF(A387="","",COUNTIFS($A$2:$A$1000,A387,$B$2:$B$1000,"&lt;"&amp;B387)+COUNTIFS($A$2:A387,A387,$B$2:B387,B387))</f>
        <v/>
      </c>
      <c r="H387" t="str">
        <f t="shared" si="6"/>
        <v/>
      </c>
    </row>
    <row r="388" spans="1:8">
      <c r="A388" s="25" t="str">
        <f>IF('Clockify Raw'!J388="","",'Clockify Raw'!J388)</f>
        <v/>
      </c>
      <c r="B388" s="23" t="str">
        <f>IF('Clockify Raw'!K388="","",VALUE('Clockify Raw'!K388))</f>
        <v/>
      </c>
      <c r="C388" s="23" t="str">
        <f>IF('Clockify Raw'!M388="","",VALUE('Clockify Raw'!M388))</f>
        <v/>
      </c>
      <c r="D388" t="str">
        <f>IF('Clockify Raw'!A388="","",IF(LOWER('Clockify Raw'!A388)="break","Break","Work"))</f>
        <v/>
      </c>
      <c r="E388" t="str">
        <f>IF('Clockify Raw'!A388="","",IF(LOWER('Clockify Raw'!A388)="break","Break",IF('Clockify Raw'!C388&lt;&gt;"",'Clockify Raw'!C388,IF('Clockify Raw'!D388&lt;&gt;"",'Clockify Raw'!D388,'Clockify Raw'!A388))))</f>
        <v/>
      </c>
      <c r="F388" s="24" t="str">
        <f>IF('Clockify Raw'!O388="","",'Clockify Raw'!O388/24)</f>
        <v/>
      </c>
      <c r="G388" t="str">
        <f>IF(A388="","",COUNTIFS($A$2:$A$1000,A388,$B$2:$B$1000,"&lt;"&amp;B388)+COUNTIFS($A$2:A388,A388,$B$2:B388,B388))</f>
        <v/>
      </c>
      <c r="H388" t="str">
        <f t="shared" si="6"/>
        <v/>
      </c>
    </row>
    <row r="389" spans="1:8">
      <c r="A389" s="25" t="str">
        <f>IF('Clockify Raw'!J389="","",'Clockify Raw'!J389)</f>
        <v/>
      </c>
      <c r="B389" s="23" t="str">
        <f>IF('Clockify Raw'!K389="","",VALUE('Clockify Raw'!K389))</f>
        <v/>
      </c>
      <c r="C389" s="23" t="str">
        <f>IF('Clockify Raw'!M389="","",VALUE('Clockify Raw'!M389))</f>
        <v/>
      </c>
      <c r="D389" t="str">
        <f>IF('Clockify Raw'!A389="","",IF(LOWER('Clockify Raw'!A389)="break","Break","Work"))</f>
        <v/>
      </c>
      <c r="E389" t="str">
        <f>IF('Clockify Raw'!A389="","",IF(LOWER('Clockify Raw'!A389)="break","Break",IF('Clockify Raw'!C389&lt;&gt;"",'Clockify Raw'!C389,IF('Clockify Raw'!D389&lt;&gt;"",'Clockify Raw'!D389,'Clockify Raw'!A389))))</f>
        <v/>
      </c>
      <c r="F389" s="24" t="str">
        <f>IF('Clockify Raw'!O389="","",'Clockify Raw'!O389/24)</f>
        <v/>
      </c>
      <c r="G389" t="str">
        <f>IF(A389="","",COUNTIFS($A$2:$A$1000,A389,$B$2:$B$1000,"&lt;"&amp;B389)+COUNTIFS($A$2:A389,A389,$B$2:B389,B389))</f>
        <v/>
      </c>
      <c r="H389" t="str">
        <f t="shared" si="6"/>
        <v/>
      </c>
    </row>
    <row r="390" spans="1:8">
      <c r="A390" s="25" t="str">
        <f>IF('Clockify Raw'!J390="","",'Clockify Raw'!J390)</f>
        <v/>
      </c>
      <c r="B390" s="23" t="str">
        <f>IF('Clockify Raw'!K390="","",VALUE('Clockify Raw'!K390))</f>
        <v/>
      </c>
      <c r="C390" s="23" t="str">
        <f>IF('Clockify Raw'!M390="","",VALUE('Clockify Raw'!M390))</f>
        <v/>
      </c>
      <c r="D390" t="str">
        <f>IF('Clockify Raw'!A390="","",IF(LOWER('Clockify Raw'!A390)="break","Break","Work"))</f>
        <v/>
      </c>
      <c r="E390" t="str">
        <f>IF('Clockify Raw'!A390="","",IF(LOWER('Clockify Raw'!A390)="break","Break",IF('Clockify Raw'!C390&lt;&gt;"",'Clockify Raw'!C390,IF('Clockify Raw'!D390&lt;&gt;"",'Clockify Raw'!D390,'Clockify Raw'!A390))))</f>
        <v/>
      </c>
      <c r="F390" s="24" t="str">
        <f>IF('Clockify Raw'!O390="","",'Clockify Raw'!O390/24)</f>
        <v/>
      </c>
      <c r="G390" t="str">
        <f>IF(A390="","",COUNTIFS($A$2:$A$1000,A390,$B$2:$B$1000,"&lt;"&amp;B390)+COUNTIFS($A$2:A390,A390,$B$2:B390,B390))</f>
        <v/>
      </c>
      <c r="H390" t="str">
        <f t="shared" si="6"/>
        <v/>
      </c>
    </row>
    <row r="391" spans="1:8">
      <c r="A391" s="25" t="str">
        <f>IF('Clockify Raw'!J391="","",'Clockify Raw'!J391)</f>
        <v/>
      </c>
      <c r="B391" s="23" t="str">
        <f>IF('Clockify Raw'!K391="","",VALUE('Clockify Raw'!K391))</f>
        <v/>
      </c>
      <c r="C391" s="23" t="str">
        <f>IF('Clockify Raw'!M391="","",VALUE('Clockify Raw'!M391))</f>
        <v/>
      </c>
      <c r="D391" t="str">
        <f>IF('Clockify Raw'!A391="","",IF(LOWER('Clockify Raw'!A391)="break","Break","Work"))</f>
        <v/>
      </c>
      <c r="E391" t="str">
        <f>IF('Clockify Raw'!A391="","",IF(LOWER('Clockify Raw'!A391)="break","Break",IF('Clockify Raw'!C391&lt;&gt;"",'Clockify Raw'!C391,IF('Clockify Raw'!D391&lt;&gt;"",'Clockify Raw'!D391,'Clockify Raw'!A391))))</f>
        <v/>
      </c>
      <c r="F391" s="24" t="str">
        <f>IF('Clockify Raw'!O391="","",'Clockify Raw'!O391/24)</f>
        <v/>
      </c>
      <c r="G391" t="str">
        <f>IF(A391="","",COUNTIFS($A$2:$A$1000,A391,$B$2:$B$1000,"&lt;"&amp;B391)+COUNTIFS($A$2:A391,A391,$B$2:B391,B391))</f>
        <v/>
      </c>
      <c r="H391" t="str">
        <f t="shared" si="6"/>
        <v/>
      </c>
    </row>
    <row r="392" spans="1:8">
      <c r="A392" s="25" t="str">
        <f>IF('Clockify Raw'!J392="","",'Clockify Raw'!J392)</f>
        <v/>
      </c>
      <c r="B392" s="23" t="str">
        <f>IF('Clockify Raw'!K392="","",VALUE('Clockify Raw'!K392))</f>
        <v/>
      </c>
      <c r="C392" s="23" t="str">
        <f>IF('Clockify Raw'!M392="","",VALUE('Clockify Raw'!M392))</f>
        <v/>
      </c>
      <c r="D392" t="str">
        <f>IF('Clockify Raw'!A392="","",IF(LOWER('Clockify Raw'!A392)="break","Break","Work"))</f>
        <v/>
      </c>
      <c r="E392" t="str">
        <f>IF('Clockify Raw'!A392="","",IF(LOWER('Clockify Raw'!A392)="break","Break",IF('Clockify Raw'!C392&lt;&gt;"",'Clockify Raw'!C392,IF('Clockify Raw'!D392&lt;&gt;"",'Clockify Raw'!D392,'Clockify Raw'!A392))))</f>
        <v/>
      </c>
      <c r="F392" s="24" t="str">
        <f>IF('Clockify Raw'!O392="","",'Clockify Raw'!O392/24)</f>
        <v/>
      </c>
      <c r="G392" t="str">
        <f>IF(A392="","",COUNTIFS($A$2:$A$1000,A392,$B$2:$B$1000,"&lt;"&amp;B392)+COUNTIFS($A$2:A392,A392,$B$2:B392,B392))</f>
        <v/>
      </c>
      <c r="H392" t="str">
        <f t="shared" si="6"/>
        <v/>
      </c>
    </row>
    <row r="393" spans="1:8">
      <c r="A393" s="25" t="str">
        <f>IF('Clockify Raw'!J393="","",'Clockify Raw'!J393)</f>
        <v/>
      </c>
      <c r="B393" s="23" t="str">
        <f>IF('Clockify Raw'!K393="","",VALUE('Clockify Raw'!K393))</f>
        <v/>
      </c>
      <c r="C393" s="23" t="str">
        <f>IF('Clockify Raw'!M393="","",VALUE('Clockify Raw'!M393))</f>
        <v/>
      </c>
      <c r="D393" t="str">
        <f>IF('Clockify Raw'!A393="","",IF(LOWER('Clockify Raw'!A393)="break","Break","Work"))</f>
        <v/>
      </c>
      <c r="E393" t="str">
        <f>IF('Clockify Raw'!A393="","",IF(LOWER('Clockify Raw'!A393)="break","Break",IF('Clockify Raw'!C393&lt;&gt;"",'Clockify Raw'!C393,IF('Clockify Raw'!D393&lt;&gt;"",'Clockify Raw'!D393,'Clockify Raw'!A393))))</f>
        <v/>
      </c>
      <c r="F393" s="24" t="str">
        <f>IF('Clockify Raw'!O393="","",'Clockify Raw'!O393/24)</f>
        <v/>
      </c>
      <c r="G393" t="str">
        <f>IF(A393="","",COUNTIFS($A$2:$A$1000,A393,$B$2:$B$1000,"&lt;"&amp;B393)+COUNTIFS($A$2:A393,A393,$B$2:B393,B393))</f>
        <v/>
      </c>
      <c r="H393" t="str">
        <f t="shared" si="6"/>
        <v/>
      </c>
    </row>
    <row r="394" spans="1:8">
      <c r="A394" s="25" t="str">
        <f>IF('Clockify Raw'!J394="","",'Clockify Raw'!J394)</f>
        <v/>
      </c>
      <c r="B394" s="23" t="str">
        <f>IF('Clockify Raw'!K394="","",VALUE('Clockify Raw'!K394))</f>
        <v/>
      </c>
      <c r="C394" s="23" t="str">
        <f>IF('Clockify Raw'!M394="","",VALUE('Clockify Raw'!M394))</f>
        <v/>
      </c>
      <c r="D394" t="str">
        <f>IF('Clockify Raw'!A394="","",IF(LOWER('Clockify Raw'!A394)="break","Break","Work"))</f>
        <v/>
      </c>
      <c r="E394" t="str">
        <f>IF('Clockify Raw'!A394="","",IF(LOWER('Clockify Raw'!A394)="break","Break",IF('Clockify Raw'!C394&lt;&gt;"",'Clockify Raw'!C394,IF('Clockify Raw'!D394&lt;&gt;"",'Clockify Raw'!D394,'Clockify Raw'!A394))))</f>
        <v/>
      </c>
      <c r="F394" s="24" t="str">
        <f>IF('Clockify Raw'!O394="","",'Clockify Raw'!O394/24)</f>
        <v/>
      </c>
      <c r="G394" t="str">
        <f>IF(A394="","",COUNTIFS($A$2:$A$1000,A394,$B$2:$B$1000,"&lt;"&amp;B394)+COUNTIFS($A$2:A394,A394,$B$2:B394,B394))</f>
        <v/>
      </c>
      <c r="H394" t="str">
        <f t="shared" si="6"/>
        <v/>
      </c>
    </row>
    <row r="395" spans="1:8">
      <c r="A395" s="25" t="str">
        <f>IF('Clockify Raw'!J395="","",'Clockify Raw'!J395)</f>
        <v/>
      </c>
      <c r="B395" s="23" t="str">
        <f>IF('Clockify Raw'!K395="","",VALUE('Clockify Raw'!K395))</f>
        <v/>
      </c>
      <c r="C395" s="23" t="str">
        <f>IF('Clockify Raw'!M395="","",VALUE('Clockify Raw'!M395))</f>
        <v/>
      </c>
      <c r="D395" t="str">
        <f>IF('Clockify Raw'!A395="","",IF(LOWER('Clockify Raw'!A395)="break","Break","Work"))</f>
        <v/>
      </c>
      <c r="E395" t="str">
        <f>IF('Clockify Raw'!A395="","",IF(LOWER('Clockify Raw'!A395)="break","Break",IF('Clockify Raw'!C395&lt;&gt;"",'Clockify Raw'!C395,IF('Clockify Raw'!D395&lt;&gt;"",'Clockify Raw'!D395,'Clockify Raw'!A395))))</f>
        <v/>
      </c>
      <c r="F395" s="24" t="str">
        <f>IF('Clockify Raw'!O395="","",'Clockify Raw'!O395/24)</f>
        <v/>
      </c>
      <c r="G395" t="str">
        <f>IF(A395="","",COUNTIFS($A$2:$A$1000,A395,$B$2:$B$1000,"&lt;"&amp;B395)+COUNTIFS($A$2:A395,A395,$B$2:B395,B395))</f>
        <v/>
      </c>
      <c r="H395" t="str">
        <f t="shared" si="6"/>
        <v/>
      </c>
    </row>
    <row r="396" spans="1:8">
      <c r="A396" s="25" t="str">
        <f>IF('Clockify Raw'!J396="","",'Clockify Raw'!J396)</f>
        <v/>
      </c>
      <c r="B396" s="23" t="str">
        <f>IF('Clockify Raw'!K396="","",VALUE('Clockify Raw'!K396))</f>
        <v/>
      </c>
      <c r="C396" s="23" t="str">
        <f>IF('Clockify Raw'!M396="","",VALUE('Clockify Raw'!M396))</f>
        <v/>
      </c>
      <c r="D396" t="str">
        <f>IF('Clockify Raw'!A396="","",IF(LOWER('Clockify Raw'!A396)="break","Break","Work"))</f>
        <v/>
      </c>
      <c r="E396" t="str">
        <f>IF('Clockify Raw'!A396="","",IF(LOWER('Clockify Raw'!A396)="break","Break",IF('Clockify Raw'!C396&lt;&gt;"",'Clockify Raw'!C396,IF('Clockify Raw'!D396&lt;&gt;"",'Clockify Raw'!D396,'Clockify Raw'!A396))))</f>
        <v/>
      </c>
      <c r="F396" s="24" t="str">
        <f>IF('Clockify Raw'!O396="","",'Clockify Raw'!O396/24)</f>
        <v/>
      </c>
      <c r="G396" t="str">
        <f>IF(A396="","",COUNTIFS($A$2:$A$1000,A396,$B$2:$B$1000,"&lt;"&amp;B396)+COUNTIFS($A$2:A396,A396,$B$2:B396,B396))</f>
        <v/>
      </c>
      <c r="H396" t="str">
        <f t="shared" si="6"/>
        <v/>
      </c>
    </row>
    <row r="397" spans="1:8">
      <c r="A397" s="25" t="str">
        <f>IF('Clockify Raw'!J397="","",'Clockify Raw'!J397)</f>
        <v/>
      </c>
      <c r="B397" s="23" t="str">
        <f>IF('Clockify Raw'!K397="","",VALUE('Clockify Raw'!K397))</f>
        <v/>
      </c>
      <c r="C397" s="23" t="str">
        <f>IF('Clockify Raw'!M397="","",VALUE('Clockify Raw'!M397))</f>
        <v/>
      </c>
      <c r="D397" t="str">
        <f>IF('Clockify Raw'!A397="","",IF(LOWER('Clockify Raw'!A397)="break","Break","Work"))</f>
        <v/>
      </c>
      <c r="E397" t="str">
        <f>IF('Clockify Raw'!A397="","",IF(LOWER('Clockify Raw'!A397)="break","Break",IF('Clockify Raw'!C397&lt;&gt;"",'Clockify Raw'!C397,IF('Clockify Raw'!D397&lt;&gt;"",'Clockify Raw'!D397,'Clockify Raw'!A397))))</f>
        <v/>
      </c>
      <c r="F397" s="24" t="str">
        <f>IF('Clockify Raw'!O397="","",'Clockify Raw'!O397/24)</f>
        <v/>
      </c>
      <c r="G397" t="str">
        <f>IF(A397="","",COUNTIFS($A$2:$A$1000,A397,$B$2:$B$1000,"&lt;"&amp;B397)+COUNTIFS($A$2:A397,A397,$B$2:B397,B397))</f>
        <v/>
      </c>
      <c r="H397" t="str">
        <f t="shared" si="6"/>
        <v/>
      </c>
    </row>
    <row r="398" spans="1:8">
      <c r="A398" s="25" t="str">
        <f>IF('Clockify Raw'!J398="","",'Clockify Raw'!J398)</f>
        <v/>
      </c>
      <c r="B398" s="23" t="str">
        <f>IF('Clockify Raw'!K398="","",VALUE('Clockify Raw'!K398))</f>
        <v/>
      </c>
      <c r="C398" s="23" t="str">
        <f>IF('Clockify Raw'!M398="","",VALUE('Clockify Raw'!M398))</f>
        <v/>
      </c>
      <c r="D398" t="str">
        <f>IF('Clockify Raw'!A398="","",IF(LOWER('Clockify Raw'!A398)="break","Break","Work"))</f>
        <v/>
      </c>
      <c r="E398" t="str">
        <f>IF('Clockify Raw'!A398="","",IF(LOWER('Clockify Raw'!A398)="break","Break",IF('Clockify Raw'!C398&lt;&gt;"",'Clockify Raw'!C398,IF('Clockify Raw'!D398&lt;&gt;"",'Clockify Raw'!D398,'Clockify Raw'!A398))))</f>
        <v/>
      </c>
      <c r="F398" s="24" t="str">
        <f>IF('Clockify Raw'!O398="","",'Clockify Raw'!O398/24)</f>
        <v/>
      </c>
      <c r="G398" t="str">
        <f>IF(A398="","",COUNTIFS($A$2:$A$1000,A398,$B$2:$B$1000,"&lt;"&amp;B398)+COUNTIFS($A$2:A398,A398,$B$2:B398,B398))</f>
        <v/>
      </c>
      <c r="H398" t="str">
        <f t="shared" si="6"/>
        <v/>
      </c>
    </row>
    <row r="399" spans="1:8">
      <c r="A399" s="25" t="str">
        <f>IF('Clockify Raw'!J399="","",'Clockify Raw'!J399)</f>
        <v/>
      </c>
      <c r="B399" s="23" t="str">
        <f>IF('Clockify Raw'!K399="","",VALUE('Clockify Raw'!K399))</f>
        <v/>
      </c>
      <c r="C399" s="23" t="str">
        <f>IF('Clockify Raw'!M399="","",VALUE('Clockify Raw'!M399))</f>
        <v/>
      </c>
      <c r="D399" t="str">
        <f>IF('Clockify Raw'!A399="","",IF(LOWER('Clockify Raw'!A399)="break","Break","Work"))</f>
        <v/>
      </c>
      <c r="E399" t="str">
        <f>IF('Clockify Raw'!A399="","",IF(LOWER('Clockify Raw'!A399)="break","Break",IF('Clockify Raw'!C399&lt;&gt;"",'Clockify Raw'!C399,IF('Clockify Raw'!D399&lt;&gt;"",'Clockify Raw'!D399,'Clockify Raw'!A399))))</f>
        <v/>
      </c>
      <c r="F399" s="24" t="str">
        <f>IF('Clockify Raw'!O399="","",'Clockify Raw'!O399/24)</f>
        <v/>
      </c>
      <c r="G399" t="str">
        <f>IF(A399="","",COUNTIFS($A$2:$A$1000,A399,$B$2:$B$1000,"&lt;"&amp;B399)+COUNTIFS($A$2:A399,A399,$B$2:B399,B399))</f>
        <v/>
      </c>
      <c r="H399" t="str">
        <f t="shared" si="6"/>
        <v/>
      </c>
    </row>
    <row r="400" spans="1:8">
      <c r="A400" s="25" t="str">
        <f>IF('Clockify Raw'!J400="","",'Clockify Raw'!J400)</f>
        <v/>
      </c>
      <c r="B400" s="23" t="str">
        <f>IF('Clockify Raw'!K400="","",VALUE('Clockify Raw'!K400))</f>
        <v/>
      </c>
      <c r="C400" s="23" t="str">
        <f>IF('Clockify Raw'!M400="","",VALUE('Clockify Raw'!M400))</f>
        <v/>
      </c>
      <c r="D400" t="str">
        <f>IF('Clockify Raw'!A400="","",IF(LOWER('Clockify Raw'!A400)="break","Break","Work"))</f>
        <v/>
      </c>
      <c r="E400" t="str">
        <f>IF('Clockify Raw'!A400="","",IF(LOWER('Clockify Raw'!A400)="break","Break",IF('Clockify Raw'!C400&lt;&gt;"",'Clockify Raw'!C400,IF('Clockify Raw'!D400&lt;&gt;"",'Clockify Raw'!D400,'Clockify Raw'!A400))))</f>
        <v/>
      </c>
      <c r="F400" s="24" t="str">
        <f>IF('Clockify Raw'!O400="","",'Clockify Raw'!O400/24)</f>
        <v/>
      </c>
      <c r="G400" t="str">
        <f>IF(A400="","",COUNTIFS($A$2:$A$1000,A400,$B$2:$B$1000,"&lt;"&amp;B400)+COUNTIFS($A$2:A400,A400,$B$2:B400,B400))</f>
        <v/>
      </c>
      <c r="H400" t="str">
        <f t="shared" si="6"/>
        <v/>
      </c>
    </row>
    <row r="401" spans="1:8">
      <c r="A401" s="25" t="str">
        <f>IF('Clockify Raw'!J401="","",'Clockify Raw'!J401)</f>
        <v/>
      </c>
      <c r="B401" s="23" t="str">
        <f>IF('Clockify Raw'!K401="","",VALUE('Clockify Raw'!K401))</f>
        <v/>
      </c>
      <c r="C401" s="23" t="str">
        <f>IF('Clockify Raw'!M401="","",VALUE('Clockify Raw'!M401))</f>
        <v/>
      </c>
      <c r="D401" t="str">
        <f>IF('Clockify Raw'!A401="","",IF(LOWER('Clockify Raw'!A401)="break","Break","Work"))</f>
        <v/>
      </c>
      <c r="E401" t="str">
        <f>IF('Clockify Raw'!A401="","",IF(LOWER('Clockify Raw'!A401)="break","Break",IF('Clockify Raw'!C401&lt;&gt;"",'Clockify Raw'!C401,IF('Clockify Raw'!D401&lt;&gt;"",'Clockify Raw'!D401,'Clockify Raw'!A401))))</f>
        <v/>
      </c>
      <c r="F401" s="24" t="str">
        <f>IF('Clockify Raw'!O401="","",'Clockify Raw'!O401/24)</f>
        <v/>
      </c>
      <c r="G401" t="str">
        <f>IF(A401="","",COUNTIFS($A$2:$A$1000,A401,$B$2:$B$1000,"&lt;"&amp;B401)+COUNTIFS($A$2:A401,A401,$B$2:B401,B401))</f>
        <v/>
      </c>
      <c r="H401" t="str">
        <f t="shared" si="6"/>
        <v/>
      </c>
    </row>
    <row r="402" spans="1:8">
      <c r="A402" s="25" t="str">
        <f>IF('Clockify Raw'!J402="","",'Clockify Raw'!J402)</f>
        <v/>
      </c>
      <c r="B402" s="23" t="str">
        <f>IF('Clockify Raw'!K402="","",VALUE('Clockify Raw'!K402))</f>
        <v/>
      </c>
      <c r="C402" s="23" t="str">
        <f>IF('Clockify Raw'!M402="","",VALUE('Clockify Raw'!M402))</f>
        <v/>
      </c>
      <c r="D402" t="str">
        <f>IF('Clockify Raw'!A402="","",IF(LOWER('Clockify Raw'!A402)="break","Break","Work"))</f>
        <v/>
      </c>
      <c r="E402" t="str">
        <f>IF('Clockify Raw'!A402="","",IF(LOWER('Clockify Raw'!A402)="break","Break",IF('Clockify Raw'!C402&lt;&gt;"",'Clockify Raw'!C402,IF('Clockify Raw'!D402&lt;&gt;"",'Clockify Raw'!D402,'Clockify Raw'!A402))))</f>
        <v/>
      </c>
      <c r="F402" s="24" t="str">
        <f>IF('Clockify Raw'!O402="","",'Clockify Raw'!O402/24)</f>
        <v/>
      </c>
      <c r="G402" t="str">
        <f>IF(A402="","",COUNTIFS($A$2:$A$1000,A402,$B$2:$B$1000,"&lt;"&amp;B402)+COUNTIFS($A$2:A402,A402,$B$2:B402,B402))</f>
        <v/>
      </c>
      <c r="H402" t="str">
        <f t="shared" si="6"/>
        <v/>
      </c>
    </row>
    <row r="403" spans="1:8">
      <c r="A403" s="25" t="str">
        <f>IF('Clockify Raw'!J403="","",'Clockify Raw'!J403)</f>
        <v/>
      </c>
      <c r="B403" s="23" t="str">
        <f>IF('Clockify Raw'!K403="","",VALUE('Clockify Raw'!K403))</f>
        <v/>
      </c>
      <c r="C403" s="23" t="str">
        <f>IF('Clockify Raw'!M403="","",VALUE('Clockify Raw'!M403))</f>
        <v/>
      </c>
      <c r="D403" t="str">
        <f>IF('Clockify Raw'!A403="","",IF(LOWER('Clockify Raw'!A403)="break","Break","Work"))</f>
        <v/>
      </c>
      <c r="E403" t="str">
        <f>IF('Clockify Raw'!A403="","",IF(LOWER('Clockify Raw'!A403)="break","Break",IF('Clockify Raw'!C403&lt;&gt;"",'Clockify Raw'!C403,IF('Clockify Raw'!D403&lt;&gt;"",'Clockify Raw'!D403,'Clockify Raw'!A403))))</f>
        <v/>
      </c>
      <c r="F403" s="24" t="str">
        <f>IF('Clockify Raw'!O403="","",'Clockify Raw'!O403/24)</f>
        <v/>
      </c>
      <c r="G403" t="str">
        <f>IF(A403="","",COUNTIFS($A$2:$A$1000,A403,$B$2:$B$1000,"&lt;"&amp;B403)+COUNTIFS($A$2:A403,A403,$B$2:B403,B403))</f>
        <v/>
      </c>
      <c r="H403" t="str">
        <f t="shared" si="6"/>
        <v/>
      </c>
    </row>
    <row r="404" spans="1:8">
      <c r="A404" s="25" t="str">
        <f>IF('Clockify Raw'!J404="","",'Clockify Raw'!J404)</f>
        <v/>
      </c>
      <c r="B404" s="23" t="str">
        <f>IF('Clockify Raw'!K404="","",VALUE('Clockify Raw'!K404))</f>
        <v/>
      </c>
      <c r="C404" s="23" t="str">
        <f>IF('Clockify Raw'!M404="","",VALUE('Clockify Raw'!M404))</f>
        <v/>
      </c>
      <c r="D404" t="str">
        <f>IF('Clockify Raw'!A404="","",IF(LOWER('Clockify Raw'!A404)="break","Break","Work"))</f>
        <v/>
      </c>
      <c r="E404" t="str">
        <f>IF('Clockify Raw'!A404="","",IF(LOWER('Clockify Raw'!A404)="break","Break",IF('Clockify Raw'!C404&lt;&gt;"",'Clockify Raw'!C404,IF('Clockify Raw'!D404&lt;&gt;"",'Clockify Raw'!D404,'Clockify Raw'!A404))))</f>
        <v/>
      </c>
      <c r="F404" s="24" t="str">
        <f>IF('Clockify Raw'!O404="","",'Clockify Raw'!O404/24)</f>
        <v/>
      </c>
      <c r="G404" t="str">
        <f>IF(A404="","",COUNTIFS($A$2:$A$1000,A404,$B$2:$B$1000,"&lt;"&amp;B404)+COUNTIFS($A$2:A404,A404,$B$2:B404,B404))</f>
        <v/>
      </c>
      <c r="H404" t="str">
        <f t="shared" si="6"/>
        <v/>
      </c>
    </row>
    <row r="405" spans="1:8">
      <c r="A405" s="25" t="str">
        <f>IF('Clockify Raw'!J405="","",'Clockify Raw'!J405)</f>
        <v/>
      </c>
      <c r="B405" s="23" t="str">
        <f>IF('Clockify Raw'!K405="","",VALUE('Clockify Raw'!K405))</f>
        <v/>
      </c>
      <c r="C405" s="23" t="str">
        <f>IF('Clockify Raw'!M405="","",VALUE('Clockify Raw'!M405))</f>
        <v/>
      </c>
      <c r="D405" t="str">
        <f>IF('Clockify Raw'!A405="","",IF(LOWER('Clockify Raw'!A405)="break","Break","Work"))</f>
        <v/>
      </c>
      <c r="E405" t="str">
        <f>IF('Clockify Raw'!A405="","",IF(LOWER('Clockify Raw'!A405)="break","Break",IF('Clockify Raw'!C405&lt;&gt;"",'Clockify Raw'!C405,IF('Clockify Raw'!D405&lt;&gt;"",'Clockify Raw'!D405,'Clockify Raw'!A405))))</f>
        <v/>
      </c>
      <c r="F405" s="24" t="str">
        <f>IF('Clockify Raw'!O405="","",'Clockify Raw'!O405/24)</f>
        <v/>
      </c>
      <c r="G405" t="str">
        <f>IF(A405="","",COUNTIFS($A$2:$A$1000,A405,$B$2:$B$1000,"&lt;"&amp;B405)+COUNTIFS($A$2:A405,A405,$B$2:B405,B405))</f>
        <v/>
      </c>
      <c r="H405" t="str">
        <f t="shared" si="6"/>
        <v/>
      </c>
    </row>
    <row r="406" spans="1:8">
      <c r="A406" s="25" t="str">
        <f>IF('Clockify Raw'!J406="","",'Clockify Raw'!J406)</f>
        <v/>
      </c>
      <c r="B406" s="23" t="str">
        <f>IF('Clockify Raw'!K406="","",VALUE('Clockify Raw'!K406))</f>
        <v/>
      </c>
      <c r="C406" s="23" t="str">
        <f>IF('Clockify Raw'!M406="","",VALUE('Clockify Raw'!M406))</f>
        <v/>
      </c>
      <c r="D406" t="str">
        <f>IF('Clockify Raw'!A406="","",IF(LOWER('Clockify Raw'!A406)="break","Break","Work"))</f>
        <v/>
      </c>
      <c r="E406" t="str">
        <f>IF('Clockify Raw'!A406="","",IF(LOWER('Clockify Raw'!A406)="break","Break",IF('Clockify Raw'!C406&lt;&gt;"",'Clockify Raw'!C406,IF('Clockify Raw'!D406&lt;&gt;"",'Clockify Raw'!D406,'Clockify Raw'!A406))))</f>
        <v/>
      </c>
      <c r="F406" s="24" t="str">
        <f>IF('Clockify Raw'!O406="","",'Clockify Raw'!O406/24)</f>
        <v/>
      </c>
      <c r="G406" t="str">
        <f>IF(A406="","",COUNTIFS($A$2:$A$1000,A406,$B$2:$B$1000,"&lt;"&amp;B406)+COUNTIFS($A$2:A406,A406,$B$2:B406,B406))</f>
        <v/>
      </c>
      <c r="H406" t="str">
        <f t="shared" si="6"/>
        <v/>
      </c>
    </row>
    <row r="407" spans="1:8">
      <c r="A407" s="25" t="str">
        <f>IF('Clockify Raw'!J407="","",'Clockify Raw'!J407)</f>
        <v/>
      </c>
      <c r="B407" s="23" t="str">
        <f>IF('Clockify Raw'!K407="","",VALUE('Clockify Raw'!K407))</f>
        <v/>
      </c>
      <c r="C407" s="23" t="str">
        <f>IF('Clockify Raw'!M407="","",VALUE('Clockify Raw'!M407))</f>
        <v/>
      </c>
      <c r="D407" t="str">
        <f>IF('Clockify Raw'!A407="","",IF(LOWER('Clockify Raw'!A407)="break","Break","Work"))</f>
        <v/>
      </c>
      <c r="E407" t="str">
        <f>IF('Clockify Raw'!A407="","",IF(LOWER('Clockify Raw'!A407)="break","Break",IF('Clockify Raw'!C407&lt;&gt;"",'Clockify Raw'!C407,IF('Clockify Raw'!D407&lt;&gt;"",'Clockify Raw'!D407,'Clockify Raw'!A407))))</f>
        <v/>
      </c>
      <c r="F407" s="24" t="str">
        <f>IF('Clockify Raw'!O407="","",'Clockify Raw'!O407/24)</f>
        <v/>
      </c>
      <c r="G407" t="str">
        <f>IF(A407="","",COUNTIFS($A$2:$A$1000,A407,$B$2:$B$1000,"&lt;"&amp;B407)+COUNTIFS($A$2:A407,A407,$B$2:B407,B407))</f>
        <v/>
      </c>
      <c r="H407" t="str">
        <f t="shared" si="6"/>
        <v/>
      </c>
    </row>
    <row r="408" spans="1:8">
      <c r="A408" s="25" t="str">
        <f>IF('Clockify Raw'!J408="","",'Clockify Raw'!J408)</f>
        <v/>
      </c>
      <c r="B408" s="23" t="str">
        <f>IF('Clockify Raw'!K408="","",VALUE('Clockify Raw'!K408))</f>
        <v/>
      </c>
      <c r="C408" s="23" t="str">
        <f>IF('Clockify Raw'!M408="","",VALUE('Clockify Raw'!M408))</f>
        <v/>
      </c>
      <c r="D408" t="str">
        <f>IF('Clockify Raw'!A408="","",IF(LOWER('Clockify Raw'!A408)="break","Break","Work"))</f>
        <v/>
      </c>
      <c r="E408" t="str">
        <f>IF('Clockify Raw'!A408="","",IF(LOWER('Clockify Raw'!A408)="break","Break",IF('Clockify Raw'!C408&lt;&gt;"",'Clockify Raw'!C408,IF('Clockify Raw'!D408&lt;&gt;"",'Clockify Raw'!D408,'Clockify Raw'!A408))))</f>
        <v/>
      </c>
      <c r="F408" s="24" t="str">
        <f>IF('Clockify Raw'!O408="","",'Clockify Raw'!O408/24)</f>
        <v/>
      </c>
      <c r="G408" t="str">
        <f>IF(A408="","",COUNTIFS($A$2:$A$1000,A408,$B$2:$B$1000,"&lt;"&amp;B408)+COUNTIFS($A$2:A408,A408,$B$2:B408,B408))</f>
        <v/>
      </c>
      <c r="H408" t="str">
        <f t="shared" si="6"/>
        <v/>
      </c>
    </row>
    <row r="409" spans="1:8">
      <c r="A409" s="25" t="str">
        <f>IF('Clockify Raw'!J409="","",'Clockify Raw'!J409)</f>
        <v/>
      </c>
      <c r="B409" s="23" t="str">
        <f>IF('Clockify Raw'!K409="","",VALUE('Clockify Raw'!K409))</f>
        <v/>
      </c>
      <c r="C409" s="23" t="str">
        <f>IF('Clockify Raw'!M409="","",VALUE('Clockify Raw'!M409))</f>
        <v/>
      </c>
      <c r="D409" t="str">
        <f>IF('Clockify Raw'!A409="","",IF(LOWER('Clockify Raw'!A409)="break","Break","Work"))</f>
        <v/>
      </c>
      <c r="E409" t="str">
        <f>IF('Clockify Raw'!A409="","",IF(LOWER('Clockify Raw'!A409)="break","Break",IF('Clockify Raw'!C409&lt;&gt;"",'Clockify Raw'!C409,IF('Clockify Raw'!D409&lt;&gt;"",'Clockify Raw'!D409,'Clockify Raw'!A409))))</f>
        <v/>
      </c>
      <c r="F409" s="24" t="str">
        <f>IF('Clockify Raw'!O409="","",'Clockify Raw'!O409/24)</f>
        <v/>
      </c>
      <c r="G409" t="str">
        <f>IF(A409="","",COUNTIFS($A$2:$A$1000,A409,$B$2:$B$1000,"&lt;"&amp;B409)+COUNTIFS($A$2:A409,A409,$B$2:B409,B409))</f>
        <v/>
      </c>
      <c r="H409" t="str">
        <f t="shared" si="6"/>
        <v/>
      </c>
    </row>
    <row r="410" spans="1:8">
      <c r="A410" s="25" t="str">
        <f>IF('Clockify Raw'!J410="","",'Clockify Raw'!J410)</f>
        <v/>
      </c>
      <c r="B410" s="23" t="str">
        <f>IF('Clockify Raw'!K410="","",VALUE('Clockify Raw'!K410))</f>
        <v/>
      </c>
      <c r="C410" s="23" t="str">
        <f>IF('Clockify Raw'!M410="","",VALUE('Clockify Raw'!M410))</f>
        <v/>
      </c>
      <c r="D410" t="str">
        <f>IF('Clockify Raw'!A410="","",IF(LOWER('Clockify Raw'!A410)="break","Break","Work"))</f>
        <v/>
      </c>
      <c r="E410" t="str">
        <f>IF('Clockify Raw'!A410="","",IF(LOWER('Clockify Raw'!A410)="break","Break",IF('Clockify Raw'!C410&lt;&gt;"",'Clockify Raw'!C410,IF('Clockify Raw'!D410&lt;&gt;"",'Clockify Raw'!D410,'Clockify Raw'!A410))))</f>
        <v/>
      </c>
      <c r="F410" s="24" t="str">
        <f>IF('Clockify Raw'!O410="","",'Clockify Raw'!O410/24)</f>
        <v/>
      </c>
      <c r="G410" t="str">
        <f>IF(A410="","",COUNTIFS($A$2:$A$1000,A410,$B$2:$B$1000,"&lt;"&amp;B410)+COUNTIFS($A$2:A410,A410,$B$2:B410,B410))</f>
        <v/>
      </c>
      <c r="H410" t="str">
        <f t="shared" si="6"/>
        <v/>
      </c>
    </row>
    <row r="411" spans="1:8">
      <c r="A411" s="25" t="str">
        <f>IF('Clockify Raw'!J411="","",'Clockify Raw'!J411)</f>
        <v/>
      </c>
      <c r="B411" s="23" t="str">
        <f>IF('Clockify Raw'!K411="","",VALUE('Clockify Raw'!K411))</f>
        <v/>
      </c>
      <c r="C411" s="23" t="str">
        <f>IF('Clockify Raw'!M411="","",VALUE('Clockify Raw'!M411))</f>
        <v/>
      </c>
      <c r="D411" t="str">
        <f>IF('Clockify Raw'!A411="","",IF(LOWER('Clockify Raw'!A411)="break","Break","Work"))</f>
        <v/>
      </c>
      <c r="E411" t="str">
        <f>IF('Clockify Raw'!A411="","",IF(LOWER('Clockify Raw'!A411)="break","Break",IF('Clockify Raw'!C411&lt;&gt;"",'Clockify Raw'!C411,IF('Clockify Raw'!D411&lt;&gt;"",'Clockify Raw'!D411,'Clockify Raw'!A411))))</f>
        <v/>
      </c>
      <c r="F411" s="24" t="str">
        <f>IF('Clockify Raw'!O411="","",'Clockify Raw'!O411/24)</f>
        <v/>
      </c>
      <c r="G411" t="str">
        <f>IF(A411="","",COUNTIFS($A$2:$A$1000,A411,$B$2:$B$1000,"&lt;"&amp;B411)+COUNTIFS($A$2:A411,A411,$B$2:B411,B411))</f>
        <v/>
      </c>
      <c r="H411" t="str">
        <f t="shared" si="6"/>
        <v/>
      </c>
    </row>
    <row r="412" spans="1:8">
      <c r="A412" s="25" t="str">
        <f>IF('Clockify Raw'!J412="","",'Clockify Raw'!J412)</f>
        <v/>
      </c>
      <c r="B412" s="23" t="str">
        <f>IF('Clockify Raw'!K412="","",VALUE('Clockify Raw'!K412))</f>
        <v/>
      </c>
      <c r="C412" s="23" t="str">
        <f>IF('Clockify Raw'!M412="","",VALUE('Clockify Raw'!M412))</f>
        <v/>
      </c>
      <c r="D412" t="str">
        <f>IF('Clockify Raw'!A412="","",IF(LOWER('Clockify Raw'!A412)="break","Break","Work"))</f>
        <v/>
      </c>
      <c r="E412" t="str">
        <f>IF('Clockify Raw'!A412="","",IF(LOWER('Clockify Raw'!A412)="break","Break",IF('Clockify Raw'!C412&lt;&gt;"",'Clockify Raw'!C412,IF('Clockify Raw'!D412&lt;&gt;"",'Clockify Raw'!D412,'Clockify Raw'!A412))))</f>
        <v/>
      </c>
      <c r="F412" s="24" t="str">
        <f>IF('Clockify Raw'!O412="","",'Clockify Raw'!O412/24)</f>
        <v/>
      </c>
      <c r="G412" t="str">
        <f>IF(A412="","",COUNTIFS($A$2:$A$1000,A412,$B$2:$B$1000,"&lt;"&amp;B412)+COUNTIFS($A$2:A412,A412,$B$2:B412,B412))</f>
        <v/>
      </c>
      <c r="H412" t="str">
        <f t="shared" si="6"/>
        <v/>
      </c>
    </row>
    <row r="413" spans="1:8">
      <c r="A413" s="25" t="str">
        <f>IF('Clockify Raw'!J413="","",'Clockify Raw'!J413)</f>
        <v/>
      </c>
      <c r="B413" s="23" t="str">
        <f>IF('Clockify Raw'!K413="","",VALUE('Clockify Raw'!K413))</f>
        <v/>
      </c>
      <c r="C413" s="23" t="str">
        <f>IF('Clockify Raw'!M413="","",VALUE('Clockify Raw'!M413))</f>
        <v/>
      </c>
      <c r="D413" t="str">
        <f>IF('Clockify Raw'!A413="","",IF(LOWER('Clockify Raw'!A413)="break","Break","Work"))</f>
        <v/>
      </c>
      <c r="E413" t="str">
        <f>IF('Clockify Raw'!A413="","",IF(LOWER('Clockify Raw'!A413)="break","Break",IF('Clockify Raw'!C413&lt;&gt;"",'Clockify Raw'!C413,IF('Clockify Raw'!D413&lt;&gt;"",'Clockify Raw'!D413,'Clockify Raw'!A413))))</f>
        <v/>
      </c>
      <c r="F413" s="24" t="str">
        <f>IF('Clockify Raw'!O413="","",'Clockify Raw'!O413/24)</f>
        <v/>
      </c>
      <c r="G413" t="str">
        <f>IF(A413="","",COUNTIFS($A$2:$A$1000,A413,$B$2:$B$1000,"&lt;"&amp;B413)+COUNTIFS($A$2:A413,A413,$B$2:B413,B413))</f>
        <v/>
      </c>
      <c r="H413" t="str">
        <f t="shared" si="6"/>
        <v/>
      </c>
    </row>
    <row r="414" spans="1:8">
      <c r="A414" s="25" t="str">
        <f>IF('Clockify Raw'!J414="","",'Clockify Raw'!J414)</f>
        <v/>
      </c>
      <c r="B414" s="23" t="str">
        <f>IF('Clockify Raw'!K414="","",VALUE('Clockify Raw'!K414))</f>
        <v/>
      </c>
      <c r="C414" s="23" t="str">
        <f>IF('Clockify Raw'!M414="","",VALUE('Clockify Raw'!M414))</f>
        <v/>
      </c>
      <c r="D414" t="str">
        <f>IF('Clockify Raw'!A414="","",IF(LOWER('Clockify Raw'!A414)="break","Break","Work"))</f>
        <v/>
      </c>
      <c r="E414" t="str">
        <f>IF('Clockify Raw'!A414="","",IF(LOWER('Clockify Raw'!A414)="break","Break",IF('Clockify Raw'!C414&lt;&gt;"",'Clockify Raw'!C414,IF('Clockify Raw'!D414&lt;&gt;"",'Clockify Raw'!D414,'Clockify Raw'!A414))))</f>
        <v/>
      </c>
      <c r="F414" s="24" t="str">
        <f>IF('Clockify Raw'!O414="","",'Clockify Raw'!O414/24)</f>
        <v/>
      </c>
      <c r="G414" t="str">
        <f>IF(A414="","",COUNTIFS($A$2:$A$1000,A414,$B$2:$B$1000,"&lt;"&amp;B414)+COUNTIFS($A$2:A414,A414,$B$2:B414,B414))</f>
        <v/>
      </c>
      <c r="H414" t="str">
        <f t="shared" si="6"/>
        <v/>
      </c>
    </row>
    <row r="415" spans="1:8">
      <c r="A415" s="25" t="str">
        <f>IF('Clockify Raw'!J415="","",'Clockify Raw'!J415)</f>
        <v/>
      </c>
      <c r="B415" s="23" t="str">
        <f>IF('Clockify Raw'!K415="","",VALUE('Clockify Raw'!K415))</f>
        <v/>
      </c>
      <c r="C415" s="23" t="str">
        <f>IF('Clockify Raw'!M415="","",VALUE('Clockify Raw'!M415))</f>
        <v/>
      </c>
      <c r="D415" t="str">
        <f>IF('Clockify Raw'!A415="","",IF(LOWER('Clockify Raw'!A415)="break","Break","Work"))</f>
        <v/>
      </c>
      <c r="E415" t="str">
        <f>IF('Clockify Raw'!A415="","",IF(LOWER('Clockify Raw'!A415)="break","Break",IF('Clockify Raw'!C415&lt;&gt;"",'Clockify Raw'!C415,IF('Clockify Raw'!D415&lt;&gt;"",'Clockify Raw'!D415,'Clockify Raw'!A415))))</f>
        <v/>
      </c>
      <c r="F415" s="24" t="str">
        <f>IF('Clockify Raw'!O415="","",'Clockify Raw'!O415/24)</f>
        <v/>
      </c>
      <c r="G415" t="str">
        <f>IF(A415="","",COUNTIFS($A$2:$A$1000,A415,$B$2:$B$1000,"&lt;"&amp;B415)+COUNTIFS($A$2:A415,A415,$B$2:B415,B415))</f>
        <v/>
      </c>
      <c r="H415" t="str">
        <f t="shared" si="6"/>
        <v/>
      </c>
    </row>
    <row r="416" spans="1:8">
      <c r="A416" s="25" t="str">
        <f>IF('Clockify Raw'!J416="","",'Clockify Raw'!J416)</f>
        <v/>
      </c>
      <c r="B416" s="23" t="str">
        <f>IF('Clockify Raw'!K416="","",VALUE('Clockify Raw'!K416))</f>
        <v/>
      </c>
      <c r="C416" s="23" t="str">
        <f>IF('Clockify Raw'!M416="","",VALUE('Clockify Raw'!M416))</f>
        <v/>
      </c>
      <c r="D416" t="str">
        <f>IF('Clockify Raw'!A416="","",IF(LOWER('Clockify Raw'!A416)="break","Break","Work"))</f>
        <v/>
      </c>
      <c r="E416" t="str">
        <f>IF('Clockify Raw'!A416="","",IF(LOWER('Clockify Raw'!A416)="break","Break",IF('Clockify Raw'!C416&lt;&gt;"",'Clockify Raw'!C416,IF('Clockify Raw'!D416&lt;&gt;"",'Clockify Raw'!D416,'Clockify Raw'!A416))))</f>
        <v/>
      </c>
      <c r="F416" s="24" t="str">
        <f>IF('Clockify Raw'!O416="","",'Clockify Raw'!O416/24)</f>
        <v/>
      </c>
      <c r="G416" t="str">
        <f>IF(A416="","",COUNTIFS($A$2:$A$1000,A416,$B$2:$B$1000,"&lt;"&amp;B416)+COUNTIFS($A$2:A416,A416,$B$2:B416,B416))</f>
        <v/>
      </c>
      <c r="H416" t="str">
        <f t="shared" si="6"/>
        <v/>
      </c>
    </row>
    <row r="417" spans="1:8">
      <c r="A417" s="25" t="str">
        <f>IF('Clockify Raw'!J417="","",'Clockify Raw'!J417)</f>
        <v/>
      </c>
      <c r="B417" s="23" t="str">
        <f>IF('Clockify Raw'!K417="","",VALUE('Clockify Raw'!K417))</f>
        <v/>
      </c>
      <c r="C417" s="23" t="str">
        <f>IF('Clockify Raw'!M417="","",VALUE('Clockify Raw'!M417))</f>
        <v/>
      </c>
      <c r="D417" t="str">
        <f>IF('Clockify Raw'!A417="","",IF(LOWER('Clockify Raw'!A417)="break","Break","Work"))</f>
        <v/>
      </c>
      <c r="E417" t="str">
        <f>IF('Clockify Raw'!A417="","",IF(LOWER('Clockify Raw'!A417)="break","Break",IF('Clockify Raw'!C417&lt;&gt;"",'Clockify Raw'!C417,IF('Clockify Raw'!D417&lt;&gt;"",'Clockify Raw'!D417,'Clockify Raw'!A417))))</f>
        <v/>
      </c>
      <c r="F417" s="24" t="str">
        <f>IF('Clockify Raw'!O417="","",'Clockify Raw'!O417/24)</f>
        <v/>
      </c>
      <c r="G417" t="str">
        <f>IF(A417="","",COUNTIFS($A$2:$A$1000,A417,$B$2:$B$1000,"&lt;"&amp;B417)+COUNTIFS($A$2:A417,A417,$B$2:B417,B417))</f>
        <v/>
      </c>
      <c r="H417" t="str">
        <f t="shared" si="6"/>
        <v/>
      </c>
    </row>
    <row r="418" spans="1:8">
      <c r="A418" s="25" t="str">
        <f>IF('Clockify Raw'!J418="","",'Clockify Raw'!J418)</f>
        <v/>
      </c>
      <c r="B418" s="23" t="str">
        <f>IF('Clockify Raw'!K418="","",VALUE('Clockify Raw'!K418))</f>
        <v/>
      </c>
      <c r="C418" s="23" t="str">
        <f>IF('Clockify Raw'!M418="","",VALUE('Clockify Raw'!M418))</f>
        <v/>
      </c>
      <c r="D418" t="str">
        <f>IF('Clockify Raw'!A418="","",IF(LOWER('Clockify Raw'!A418)="break","Break","Work"))</f>
        <v/>
      </c>
      <c r="E418" t="str">
        <f>IF('Clockify Raw'!A418="","",IF(LOWER('Clockify Raw'!A418)="break","Break",IF('Clockify Raw'!C418&lt;&gt;"",'Clockify Raw'!C418,IF('Clockify Raw'!D418&lt;&gt;"",'Clockify Raw'!D418,'Clockify Raw'!A418))))</f>
        <v/>
      </c>
      <c r="F418" s="24" t="str">
        <f>IF('Clockify Raw'!O418="","",'Clockify Raw'!O418/24)</f>
        <v/>
      </c>
      <c r="G418" t="str">
        <f>IF(A418="","",COUNTIFS($A$2:$A$1000,A418,$B$2:$B$1000,"&lt;"&amp;B418)+COUNTIFS($A$2:A418,A418,$B$2:B418,B418))</f>
        <v/>
      </c>
      <c r="H418" t="str">
        <f t="shared" si="6"/>
        <v/>
      </c>
    </row>
    <row r="419" spans="1:8">
      <c r="A419" s="25" t="str">
        <f>IF('Clockify Raw'!J419="","",'Clockify Raw'!J419)</f>
        <v/>
      </c>
      <c r="B419" s="23" t="str">
        <f>IF('Clockify Raw'!K419="","",VALUE('Clockify Raw'!K419))</f>
        <v/>
      </c>
      <c r="C419" s="23" t="str">
        <f>IF('Clockify Raw'!M419="","",VALUE('Clockify Raw'!M419))</f>
        <v/>
      </c>
      <c r="D419" t="str">
        <f>IF('Clockify Raw'!A419="","",IF(LOWER('Clockify Raw'!A419)="break","Break","Work"))</f>
        <v/>
      </c>
      <c r="E419" t="str">
        <f>IF('Clockify Raw'!A419="","",IF(LOWER('Clockify Raw'!A419)="break","Break",IF('Clockify Raw'!C419&lt;&gt;"",'Clockify Raw'!C419,IF('Clockify Raw'!D419&lt;&gt;"",'Clockify Raw'!D419,'Clockify Raw'!A419))))</f>
        <v/>
      </c>
      <c r="F419" s="24" t="str">
        <f>IF('Clockify Raw'!O419="","",'Clockify Raw'!O419/24)</f>
        <v/>
      </c>
      <c r="G419" t="str">
        <f>IF(A419="","",COUNTIFS($A$2:$A$1000,A419,$B$2:$B$1000,"&lt;"&amp;B419)+COUNTIFS($A$2:A419,A419,$B$2:B419,B419))</f>
        <v/>
      </c>
      <c r="H419" t="str">
        <f t="shared" si="6"/>
        <v/>
      </c>
    </row>
    <row r="420" spans="1:8">
      <c r="A420" s="25" t="str">
        <f>IF('Clockify Raw'!J420="","",'Clockify Raw'!J420)</f>
        <v/>
      </c>
      <c r="B420" s="23" t="str">
        <f>IF('Clockify Raw'!K420="","",VALUE('Clockify Raw'!K420))</f>
        <v/>
      </c>
      <c r="C420" s="23" t="str">
        <f>IF('Clockify Raw'!M420="","",VALUE('Clockify Raw'!M420))</f>
        <v/>
      </c>
      <c r="D420" t="str">
        <f>IF('Clockify Raw'!A420="","",IF(LOWER('Clockify Raw'!A420)="break","Break","Work"))</f>
        <v/>
      </c>
      <c r="E420" t="str">
        <f>IF('Clockify Raw'!A420="","",IF(LOWER('Clockify Raw'!A420)="break","Break",IF('Clockify Raw'!C420&lt;&gt;"",'Clockify Raw'!C420,IF('Clockify Raw'!D420&lt;&gt;"",'Clockify Raw'!D420,'Clockify Raw'!A420))))</f>
        <v/>
      </c>
      <c r="F420" s="24" t="str">
        <f>IF('Clockify Raw'!O420="","",'Clockify Raw'!O420/24)</f>
        <v/>
      </c>
      <c r="G420" t="str">
        <f>IF(A420="","",COUNTIFS($A$2:$A$1000,A420,$B$2:$B$1000,"&lt;"&amp;B420)+COUNTIFS($A$2:A420,A420,$B$2:B420,B420))</f>
        <v/>
      </c>
      <c r="H420" t="str">
        <f t="shared" si="6"/>
        <v/>
      </c>
    </row>
    <row r="421" spans="1:8">
      <c r="A421" s="25" t="str">
        <f>IF('Clockify Raw'!J421="","",'Clockify Raw'!J421)</f>
        <v/>
      </c>
      <c r="B421" s="23" t="str">
        <f>IF('Clockify Raw'!K421="","",VALUE('Clockify Raw'!K421))</f>
        <v/>
      </c>
      <c r="C421" s="23" t="str">
        <f>IF('Clockify Raw'!M421="","",VALUE('Clockify Raw'!M421))</f>
        <v/>
      </c>
      <c r="D421" t="str">
        <f>IF('Clockify Raw'!A421="","",IF(LOWER('Clockify Raw'!A421)="break","Break","Work"))</f>
        <v/>
      </c>
      <c r="E421" t="str">
        <f>IF('Clockify Raw'!A421="","",IF(LOWER('Clockify Raw'!A421)="break","Break",IF('Clockify Raw'!C421&lt;&gt;"",'Clockify Raw'!C421,IF('Clockify Raw'!D421&lt;&gt;"",'Clockify Raw'!D421,'Clockify Raw'!A421))))</f>
        <v/>
      </c>
      <c r="F421" s="24" t="str">
        <f>IF('Clockify Raw'!O421="","",'Clockify Raw'!O421/24)</f>
        <v/>
      </c>
      <c r="G421" t="str">
        <f>IF(A421="","",COUNTIFS($A$2:$A$1000,A421,$B$2:$B$1000,"&lt;"&amp;B421)+COUNTIFS($A$2:A421,A421,$B$2:B421,B421))</f>
        <v/>
      </c>
      <c r="H421" t="str">
        <f t="shared" si="6"/>
        <v/>
      </c>
    </row>
    <row r="422" spans="1:8">
      <c r="A422" s="25" t="str">
        <f>IF('Clockify Raw'!J422="","",'Clockify Raw'!J422)</f>
        <v/>
      </c>
      <c r="B422" s="23" t="str">
        <f>IF('Clockify Raw'!K422="","",VALUE('Clockify Raw'!K422))</f>
        <v/>
      </c>
      <c r="C422" s="23" t="str">
        <f>IF('Clockify Raw'!M422="","",VALUE('Clockify Raw'!M422))</f>
        <v/>
      </c>
      <c r="D422" t="str">
        <f>IF('Clockify Raw'!A422="","",IF(LOWER('Clockify Raw'!A422)="break","Break","Work"))</f>
        <v/>
      </c>
      <c r="E422" t="str">
        <f>IF('Clockify Raw'!A422="","",IF(LOWER('Clockify Raw'!A422)="break","Break",IF('Clockify Raw'!C422&lt;&gt;"",'Clockify Raw'!C422,IF('Clockify Raw'!D422&lt;&gt;"",'Clockify Raw'!D422,'Clockify Raw'!A422))))</f>
        <v/>
      </c>
      <c r="F422" s="24" t="str">
        <f>IF('Clockify Raw'!O422="","",'Clockify Raw'!O422/24)</f>
        <v/>
      </c>
      <c r="G422" t="str">
        <f>IF(A422="","",COUNTIFS($A$2:$A$1000,A422,$B$2:$B$1000,"&lt;"&amp;B422)+COUNTIFS($A$2:A422,A422,$B$2:B422,B422))</f>
        <v/>
      </c>
      <c r="H422" t="str">
        <f t="shared" si="6"/>
        <v/>
      </c>
    </row>
    <row r="423" spans="1:8">
      <c r="A423" s="25" t="str">
        <f>IF('Clockify Raw'!J423="","",'Clockify Raw'!J423)</f>
        <v/>
      </c>
      <c r="B423" s="23" t="str">
        <f>IF('Clockify Raw'!K423="","",VALUE('Clockify Raw'!K423))</f>
        <v/>
      </c>
      <c r="C423" s="23" t="str">
        <f>IF('Clockify Raw'!M423="","",VALUE('Clockify Raw'!M423))</f>
        <v/>
      </c>
      <c r="D423" t="str">
        <f>IF('Clockify Raw'!A423="","",IF(LOWER('Clockify Raw'!A423)="break","Break","Work"))</f>
        <v/>
      </c>
      <c r="E423" t="str">
        <f>IF('Clockify Raw'!A423="","",IF(LOWER('Clockify Raw'!A423)="break","Break",IF('Clockify Raw'!C423&lt;&gt;"",'Clockify Raw'!C423,IF('Clockify Raw'!D423&lt;&gt;"",'Clockify Raw'!D423,'Clockify Raw'!A423))))</f>
        <v/>
      </c>
      <c r="F423" s="24" t="str">
        <f>IF('Clockify Raw'!O423="","",'Clockify Raw'!O423/24)</f>
        <v/>
      </c>
      <c r="G423" t="str">
        <f>IF(A423="","",COUNTIFS($A$2:$A$1000,A423,$B$2:$B$1000,"&lt;"&amp;B423)+COUNTIFS($A$2:A423,A423,$B$2:B423,B423))</f>
        <v/>
      </c>
      <c r="H423" t="str">
        <f t="shared" si="6"/>
        <v/>
      </c>
    </row>
    <row r="424" spans="1:8">
      <c r="A424" s="25" t="str">
        <f>IF('Clockify Raw'!J424="","",'Clockify Raw'!J424)</f>
        <v/>
      </c>
      <c r="B424" s="23" t="str">
        <f>IF('Clockify Raw'!K424="","",VALUE('Clockify Raw'!K424))</f>
        <v/>
      </c>
      <c r="C424" s="23" t="str">
        <f>IF('Clockify Raw'!M424="","",VALUE('Clockify Raw'!M424))</f>
        <v/>
      </c>
      <c r="D424" t="str">
        <f>IF('Clockify Raw'!A424="","",IF(LOWER('Clockify Raw'!A424)="break","Break","Work"))</f>
        <v/>
      </c>
      <c r="E424" t="str">
        <f>IF('Clockify Raw'!A424="","",IF(LOWER('Clockify Raw'!A424)="break","Break",IF('Clockify Raw'!C424&lt;&gt;"",'Clockify Raw'!C424,IF('Clockify Raw'!D424&lt;&gt;"",'Clockify Raw'!D424,'Clockify Raw'!A424))))</f>
        <v/>
      </c>
      <c r="F424" s="24" t="str">
        <f>IF('Clockify Raw'!O424="","",'Clockify Raw'!O424/24)</f>
        <v/>
      </c>
      <c r="G424" t="str">
        <f>IF(A424="","",COUNTIFS($A$2:$A$1000,A424,$B$2:$B$1000,"&lt;"&amp;B424)+COUNTIFS($A$2:A424,A424,$B$2:B424,B424))</f>
        <v/>
      </c>
      <c r="H424" t="str">
        <f t="shared" si="6"/>
        <v/>
      </c>
    </row>
    <row r="425" spans="1:8">
      <c r="A425" s="25" t="str">
        <f>IF('Clockify Raw'!J425="","",'Clockify Raw'!J425)</f>
        <v/>
      </c>
      <c r="B425" s="23" t="str">
        <f>IF('Clockify Raw'!K425="","",VALUE('Clockify Raw'!K425))</f>
        <v/>
      </c>
      <c r="C425" s="23" t="str">
        <f>IF('Clockify Raw'!M425="","",VALUE('Clockify Raw'!M425))</f>
        <v/>
      </c>
      <c r="D425" t="str">
        <f>IF('Clockify Raw'!A425="","",IF(LOWER('Clockify Raw'!A425)="break","Break","Work"))</f>
        <v/>
      </c>
      <c r="E425" t="str">
        <f>IF('Clockify Raw'!A425="","",IF(LOWER('Clockify Raw'!A425)="break","Break",IF('Clockify Raw'!C425&lt;&gt;"",'Clockify Raw'!C425,IF('Clockify Raw'!D425&lt;&gt;"",'Clockify Raw'!D425,'Clockify Raw'!A425))))</f>
        <v/>
      </c>
      <c r="F425" s="24" t="str">
        <f>IF('Clockify Raw'!O425="","",'Clockify Raw'!O425/24)</f>
        <v/>
      </c>
      <c r="G425" t="str">
        <f>IF(A425="","",COUNTIFS($A$2:$A$1000,A425,$B$2:$B$1000,"&lt;"&amp;B425)+COUNTIFS($A$2:A425,A425,$B$2:B425,B425))</f>
        <v/>
      </c>
      <c r="H425" t="str">
        <f t="shared" si="6"/>
        <v/>
      </c>
    </row>
    <row r="426" spans="1:8">
      <c r="A426" s="25" t="str">
        <f>IF('Clockify Raw'!J426="","",'Clockify Raw'!J426)</f>
        <v/>
      </c>
      <c r="B426" s="23" t="str">
        <f>IF('Clockify Raw'!K426="","",VALUE('Clockify Raw'!K426))</f>
        <v/>
      </c>
      <c r="C426" s="23" t="str">
        <f>IF('Clockify Raw'!M426="","",VALUE('Clockify Raw'!M426))</f>
        <v/>
      </c>
      <c r="D426" t="str">
        <f>IF('Clockify Raw'!A426="","",IF(LOWER('Clockify Raw'!A426)="break","Break","Work"))</f>
        <v/>
      </c>
      <c r="E426" t="str">
        <f>IF('Clockify Raw'!A426="","",IF(LOWER('Clockify Raw'!A426)="break","Break",IF('Clockify Raw'!C426&lt;&gt;"",'Clockify Raw'!C426,IF('Clockify Raw'!D426&lt;&gt;"",'Clockify Raw'!D426,'Clockify Raw'!A426))))</f>
        <v/>
      </c>
      <c r="F426" s="24" t="str">
        <f>IF('Clockify Raw'!O426="","",'Clockify Raw'!O426/24)</f>
        <v/>
      </c>
      <c r="G426" t="str">
        <f>IF(A426="","",COUNTIFS($A$2:$A$1000,A426,$B$2:$B$1000,"&lt;"&amp;B426)+COUNTIFS($A$2:A426,A426,$B$2:B426,B426))</f>
        <v/>
      </c>
      <c r="H426" t="str">
        <f t="shared" si="6"/>
        <v/>
      </c>
    </row>
    <row r="427" spans="1:8">
      <c r="A427" s="25" t="str">
        <f>IF('Clockify Raw'!J427="","",'Clockify Raw'!J427)</f>
        <v/>
      </c>
      <c r="B427" s="23" t="str">
        <f>IF('Clockify Raw'!K427="","",VALUE('Clockify Raw'!K427))</f>
        <v/>
      </c>
      <c r="C427" s="23" t="str">
        <f>IF('Clockify Raw'!M427="","",VALUE('Clockify Raw'!M427))</f>
        <v/>
      </c>
      <c r="D427" t="str">
        <f>IF('Clockify Raw'!A427="","",IF(LOWER('Clockify Raw'!A427)="break","Break","Work"))</f>
        <v/>
      </c>
      <c r="E427" t="str">
        <f>IF('Clockify Raw'!A427="","",IF(LOWER('Clockify Raw'!A427)="break","Break",IF('Clockify Raw'!C427&lt;&gt;"",'Clockify Raw'!C427,IF('Clockify Raw'!D427&lt;&gt;"",'Clockify Raw'!D427,'Clockify Raw'!A427))))</f>
        <v/>
      </c>
      <c r="F427" s="24" t="str">
        <f>IF('Clockify Raw'!O427="","",'Clockify Raw'!O427/24)</f>
        <v/>
      </c>
      <c r="G427" t="str">
        <f>IF(A427="","",COUNTIFS($A$2:$A$1000,A427,$B$2:$B$1000,"&lt;"&amp;B427)+COUNTIFS($A$2:A427,A427,$B$2:B427,B427))</f>
        <v/>
      </c>
      <c r="H427" t="str">
        <f t="shared" si="6"/>
        <v/>
      </c>
    </row>
    <row r="428" spans="1:8">
      <c r="A428" s="25" t="str">
        <f>IF('Clockify Raw'!J428="","",'Clockify Raw'!J428)</f>
        <v/>
      </c>
      <c r="B428" s="23" t="str">
        <f>IF('Clockify Raw'!K428="","",VALUE('Clockify Raw'!K428))</f>
        <v/>
      </c>
      <c r="C428" s="23" t="str">
        <f>IF('Clockify Raw'!M428="","",VALUE('Clockify Raw'!M428))</f>
        <v/>
      </c>
      <c r="D428" t="str">
        <f>IF('Clockify Raw'!A428="","",IF(LOWER('Clockify Raw'!A428)="break","Break","Work"))</f>
        <v/>
      </c>
      <c r="E428" t="str">
        <f>IF('Clockify Raw'!A428="","",IF(LOWER('Clockify Raw'!A428)="break","Break",IF('Clockify Raw'!C428&lt;&gt;"",'Clockify Raw'!C428,IF('Clockify Raw'!D428&lt;&gt;"",'Clockify Raw'!D428,'Clockify Raw'!A428))))</f>
        <v/>
      </c>
      <c r="F428" s="24" t="str">
        <f>IF('Clockify Raw'!O428="","",'Clockify Raw'!O428/24)</f>
        <v/>
      </c>
      <c r="G428" t="str">
        <f>IF(A428="","",COUNTIFS($A$2:$A$1000,A428,$B$2:$B$1000,"&lt;"&amp;B428)+COUNTIFS($A$2:A428,A428,$B$2:B428,B428))</f>
        <v/>
      </c>
      <c r="H428" t="str">
        <f t="shared" si="6"/>
        <v/>
      </c>
    </row>
    <row r="429" spans="1:8">
      <c r="A429" s="25" t="str">
        <f>IF('Clockify Raw'!J429="","",'Clockify Raw'!J429)</f>
        <v/>
      </c>
      <c r="B429" s="23" t="str">
        <f>IF('Clockify Raw'!K429="","",VALUE('Clockify Raw'!K429))</f>
        <v/>
      </c>
      <c r="C429" s="23" t="str">
        <f>IF('Clockify Raw'!M429="","",VALUE('Clockify Raw'!M429))</f>
        <v/>
      </c>
      <c r="D429" t="str">
        <f>IF('Clockify Raw'!A429="","",IF(LOWER('Clockify Raw'!A429)="break","Break","Work"))</f>
        <v/>
      </c>
      <c r="E429" t="str">
        <f>IF('Clockify Raw'!A429="","",IF(LOWER('Clockify Raw'!A429)="break","Break",IF('Clockify Raw'!C429&lt;&gt;"",'Clockify Raw'!C429,IF('Clockify Raw'!D429&lt;&gt;"",'Clockify Raw'!D429,'Clockify Raw'!A429))))</f>
        <v/>
      </c>
      <c r="F429" s="24" t="str">
        <f>IF('Clockify Raw'!O429="","",'Clockify Raw'!O429/24)</f>
        <v/>
      </c>
      <c r="G429" t="str">
        <f>IF(A429="","",COUNTIFS($A$2:$A$1000,A429,$B$2:$B$1000,"&lt;"&amp;B429)+COUNTIFS($A$2:A429,A429,$B$2:B429,B429))</f>
        <v/>
      </c>
      <c r="H429" t="str">
        <f t="shared" si="6"/>
        <v/>
      </c>
    </row>
    <row r="430" spans="1:8">
      <c r="A430" s="25" t="str">
        <f>IF('Clockify Raw'!J430="","",'Clockify Raw'!J430)</f>
        <v/>
      </c>
      <c r="B430" s="23" t="str">
        <f>IF('Clockify Raw'!K430="","",VALUE('Clockify Raw'!K430))</f>
        <v/>
      </c>
      <c r="C430" s="23" t="str">
        <f>IF('Clockify Raw'!M430="","",VALUE('Clockify Raw'!M430))</f>
        <v/>
      </c>
      <c r="D430" t="str">
        <f>IF('Clockify Raw'!A430="","",IF(LOWER('Clockify Raw'!A430)="break","Break","Work"))</f>
        <v/>
      </c>
      <c r="E430" t="str">
        <f>IF('Clockify Raw'!A430="","",IF(LOWER('Clockify Raw'!A430)="break","Break",IF('Clockify Raw'!C430&lt;&gt;"",'Clockify Raw'!C430,IF('Clockify Raw'!D430&lt;&gt;"",'Clockify Raw'!D430,'Clockify Raw'!A430))))</f>
        <v/>
      </c>
      <c r="F430" s="24" t="str">
        <f>IF('Clockify Raw'!O430="","",'Clockify Raw'!O430/24)</f>
        <v/>
      </c>
      <c r="G430" t="str">
        <f>IF(A430="","",COUNTIFS($A$2:$A$1000,A430,$B$2:$B$1000,"&lt;"&amp;B430)+COUNTIFS($A$2:A430,A430,$B$2:B430,B430))</f>
        <v/>
      </c>
      <c r="H430" t="str">
        <f t="shared" si="6"/>
        <v/>
      </c>
    </row>
    <row r="431" spans="1:8">
      <c r="A431" s="25" t="str">
        <f>IF('Clockify Raw'!J431="","",'Clockify Raw'!J431)</f>
        <v/>
      </c>
      <c r="B431" s="23" t="str">
        <f>IF('Clockify Raw'!K431="","",VALUE('Clockify Raw'!K431))</f>
        <v/>
      </c>
      <c r="C431" s="23" t="str">
        <f>IF('Clockify Raw'!M431="","",VALUE('Clockify Raw'!M431))</f>
        <v/>
      </c>
      <c r="D431" t="str">
        <f>IF('Clockify Raw'!A431="","",IF(LOWER('Clockify Raw'!A431)="break","Break","Work"))</f>
        <v/>
      </c>
      <c r="E431" t="str">
        <f>IF('Clockify Raw'!A431="","",IF(LOWER('Clockify Raw'!A431)="break","Break",IF('Clockify Raw'!C431&lt;&gt;"",'Clockify Raw'!C431,IF('Clockify Raw'!D431&lt;&gt;"",'Clockify Raw'!D431,'Clockify Raw'!A431))))</f>
        <v/>
      </c>
      <c r="F431" s="24" t="str">
        <f>IF('Clockify Raw'!O431="","",'Clockify Raw'!O431/24)</f>
        <v/>
      </c>
      <c r="G431" t="str">
        <f>IF(A431="","",COUNTIFS($A$2:$A$1000,A431,$B$2:$B$1000,"&lt;"&amp;B431)+COUNTIFS($A$2:A431,A431,$B$2:B431,B431))</f>
        <v/>
      </c>
      <c r="H431" t="str">
        <f t="shared" si="6"/>
        <v/>
      </c>
    </row>
    <row r="432" spans="1:8">
      <c r="A432" s="25" t="str">
        <f>IF('Clockify Raw'!J432="","",'Clockify Raw'!J432)</f>
        <v/>
      </c>
      <c r="B432" s="23" t="str">
        <f>IF('Clockify Raw'!K432="","",VALUE('Clockify Raw'!K432))</f>
        <v/>
      </c>
      <c r="C432" s="23" t="str">
        <f>IF('Clockify Raw'!M432="","",VALUE('Clockify Raw'!M432))</f>
        <v/>
      </c>
      <c r="D432" t="str">
        <f>IF('Clockify Raw'!A432="","",IF(LOWER('Clockify Raw'!A432)="break","Break","Work"))</f>
        <v/>
      </c>
      <c r="E432" t="str">
        <f>IF('Clockify Raw'!A432="","",IF(LOWER('Clockify Raw'!A432)="break","Break",IF('Clockify Raw'!C432&lt;&gt;"",'Clockify Raw'!C432,IF('Clockify Raw'!D432&lt;&gt;"",'Clockify Raw'!D432,'Clockify Raw'!A432))))</f>
        <v/>
      </c>
      <c r="F432" s="24" t="str">
        <f>IF('Clockify Raw'!O432="","",'Clockify Raw'!O432/24)</f>
        <v/>
      </c>
      <c r="G432" t="str">
        <f>IF(A432="","",COUNTIFS($A$2:$A$1000,A432,$B$2:$B$1000,"&lt;"&amp;B432)+COUNTIFS($A$2:A432,A432,$B$2:B432,B432))</f>
        <v/>
      </c>
      <c r="H432" t="str">
        <f t="shared" si="6"/>
        <v/>
      </c>
    </row>
    <row r="433" spans="1:8">
      <c r="A433" s="25" t="str">
        <f>IF('Clockify Raw'!J433="","",'Clockify Raw'!J433)</f>
        <v/>
      </c>
      <c r="B433" s="23" t="str">
        <f>IF('Clockify Raw'!K433="","",VALUE('Clockify Raw'!K433))</f>
        <v/>
      </c>
      <c r="C433" s="23" t="str">
        <f>IF('Clockify Raw'!M433="","",VALUE('Clockify Raw'!M433))</f>
        <v/>
      </c>
      <c r="D433" t="str">
        <f>IF('Clockify Raw'!A433="","",IF(LOWER('Clockify Raw'!A433)="break","Break","Work"))</f>
        <v/>
      </c>
      <c r="E433" t="str">
        <f>IF('Clockify Raw'!A433="","",IF(LOWER('Clockify Raw'!A433)="break","Break",IF('Clockify Raw'!C433&lt;&gt;"",'Clockify Raw'!C433,IF('Clockify Raw'!D433&lt;&gt;"",'Clockify Raw'!D433,'Clockify Raw'!A433))))</f>
        <v/>
      </c>
      <c r="F433" s="24" t="str">
        <f>IF('Clockify Raw'!O433="","",'Clockify Raw'!O433/24)</f>
        <v/>
      </c>
      <c r="G433" t="str">
        <f>IF(A433="","",COUNTIFS($A$2:$A$1000,A433,$B$2:$B$1000,"&lt;"&amp;B433)+COUNTIFS($A$2:A433,A433,$B$2:B433,B433))</f>
        <v/>
      </c>
      <c r="H433" t="str">
        <f t="shared" si="6"/>
        <v/>
      </c>
    </row>
    <row r="434" spans="1:8">
      <c r="A434" s="25" t="str">
        <f>IF('Clockify Raw'!J434="","",'Clockify Raw'!J434)</f>
        <v/>
      </c>
      <c r="B434" s="23" t="str">
        <f>IF('Clockify Raw'!K434="","",VALUE('Clockify Raw'!K434))</f>
        <v/>
      </c>
      <c r="C434" s="23" t="str">
        <f>IF('Clockify Raw'!M434="","",VALUE('Clockify Raw'!M434))</f>
        <v/>
      </c>
      <c r="D434" t="str">
        <f>IF('Clockify Raw'!A434="","",IF(LOWER('Clockify Raw'!A434)="break","Break","Work"))</f>
        <v/>
      </c>
      <c r="E434" t="str">
        <f>IF('Clockify Raw'!A434="","",IF(LOWER('Clockify Raw'!A434)="break","Break",IF('Clockify Raw'!C434&lt;&gt;"",'Clockify Raw'!C434,IF('Clockify Raw'!D434&lt;&gt;"",'Clockify Raw'!D434,'Clockify Raw'!A434))))</f>
        <v/>
      </c>
      <c r="F434" s="24" t="str">
        <f>IF('Clockify Raw'!O434="","",'Clockify Raw'!O434/24)</f>
        <v/>
      </c>
      <c r="G434" t="str">
        <f>IF(A434="","",COUNTIFS($A$2:$A$1000,A434,$B$2:$B$1000,"&lt;"&amp;B434)+COUNTIFS($A$2:A434,A434,$B$2:B434,B434))</f>
        <v/>
      </c>
      <c r="H434" t="str">
        <f t="shared" si="6"/>
        <v/>
      </c>
    </row>
    <row r="435" spans="1:8">
      <c r="A435" s="25" t="str">
        <f>IF('Clockify Raw'!J435="","",'Clockify Raw'!J435)</f>
        <v/>
      </c>
      <c r="B435" s="23" t="str">
        <f>IF('Clockify Raw'!K435="","",VALUE('Clockify Raw'!K435))</f>
        <v/>
      </c>
      <c r="C435" s="23" t="str">
        <f>IF('Clockify Raw'!M435="","",VALUE('Clockify Raw'!M435))</f>
        <v/>
      </c>
      <c r="D435" t="str">
        <f>IF('Clockify Raw'!A435="","",IF(LOWER('Clockify Raw'!A435)="break","Break","Work"))</f>
        <v/>
      </c>
      <c r="E435" t="str">
        <f>IF('Clockify Raw'!A435="","",IF(LOWER('Clockify Raw'!A435)="break","Break",IF('Clockify Raw'!C435&lt;&gt;"",'Clockify Raw'!C435,IF('Clockify Raw'!D435&lt;&gt;"",'Clockify Raw'!D435,'Clockify Raw'!A435))))</f>
        <v/>
      </c>
      <c r="F435" s="24" t="str">
        <f>IF('Clockify Raw'!O435="","",'Clockify Raw'!O435/24)</f>
        <v/>
      </c>
      <c r="G435" t="str">
        <f>IF(A435="","",COUNTIFS($A$2:$A$1000,A435,$B$2:$B$1000,"&lt;"&amp;B435)+COUNTIFS($A$2:A435,A435,$B$2:B435,B435))</f>
        <v/>
      </c>
      <c r="H435" t="str">
        <f t="shared" si="6"/>
        <v/>
      </c>
    </row>
    <row r="436" spans="1:8">
      <c r="A436" s="25" t="str">
        <f>IF('Clockify Raw'!J436="","",'Clockify Raw'!J436)</f>
        <v/>
      </c>
      <c r="B436" s="23" t="str">
        <f>IF('Clockify Raw'!K436="","",VALUE('Clockify Raw'!K436))</f>
        <v/>
      </c>
      <c r="C436" s="23" t="str">
        <f>IF('Clockify Raw'!M436="","",VALUE('Clockify Raw'!M436))</f>
        <v/>
      </c>
      <c r="D436" t="str">
        <f>IF('Clockify Raw'!A436="","",IF(LOWER('Clockify Raw'!A436)="break","Break","Work"))</f>
        <v/>
      </c>
      <c r="E436" t="str">
        <f>IF('Clockify Raw'!A436="","",IF(LOWER('Clockify Raw'!A436)="break","Break",IF('Clockify Raw'!C436&lt;&gt;"",'Clockify Raw'!C436,IF('Clockify Raw'!D436&lt;&gt;"",'Clockify Raw'!D436,'Clockify Raw'!A436))))</f>
        <v/>
      </c>
      <c r="F436" s="24" t="str">
        <f>IF('Clockify Raw'!O436="","",'Clockify Raw'!O436/24)</f>
        <v/>
      </c>
      <c r="G436" t="str">
        <f>IF(A436="","",COUNTIFS($A$2:$A$1000,A436,$B$2:$B$1000,"&lt;"&amp;B436)+COUNTIFS($A$2:A436,A436,$B$2:B436,B436))</f>
        <v/>
      </c>
      <c r="H436" t="str">
        <f t="shared" si="6"/>
        <v/>
      </c>
    </row>
    <row r="437" spans="1:8">
      <c r="A437" s="25" t="str">
        <f>IF('Clockify Raw'!J437="","",'Clockify Raw'!J437)</f>
        <v/>
      </c>
      <c r="B437" s="23" t="str">
        <f>IF('Clockify Raw'!K437="","",VALUE('Clockify Raw'!K437))</f>
        <v/>
      </c>
      <c r="C437" s="23" t="str">
        <f>IF('Clockify Raw'!M437="","",VALUE('Clockify Raw'!M437))</f>
        <v/>
      </c>
      <c r="D437" t="str">
        <f>IF('Clockify Raw'!A437="","",IF(LOWER('Clockify Raw'!A437)="break","Break","Work"))</f>
        <v/>
      </c>
      <c r="E437" t="str">
        <f>IF('Clockify Raw'!A437="","",IF(LOWER('Clockify Raw'!A437)="break","Break",IF('Clockify Raw'!C437&lt;&gt;"",'Clockify Raw'!C437,IF('Clockify Raw'!D437&lt;&gt;"",'Clockify Raw'!D437,'Clockify Raw'!A437))))</f>
        <v/>
      </c>
      <c r="F437" s="24" t="str">
        <f>IF('Clockify Raw'!O437="","",'Clockify Raw'!O437/24)</f>
        <v/>
      </c>
      <c r="G437" t="str">
        <f>IF(A437="","",COUNTIFS($A$2:$A$1000,A437,$B$2:$B$1000,"&lt;"&amp;B437)+COUNTIFS($A$2:A437,A437,$B$2:B437,B437))</f>
        <v/>
      </c>
      <c r="H437" t="str">
        <f t="shared" si="6"/>
        <v/>
      </c>
    </row>
    <row r="438" spans="1:8">
      <c r="A438" s="25" t="str">
        <f>IF('Clockify Raw'!J438="","",'Clockify Raw'!J438)</f>
        <v/>
      </c>
      <c r="B438" s="23" t="str">
        <f>IF('Clockify Raw'!K438="","",VALUE('Clockify Raw'!K438))</f>
        <v/>
      </c>
      <c r="C438" s="23" t="str">
        <f>IF('Clockify Raw'!M438="","",VALUE('Clockify Raw'!M438))</f>
        <v/>
      </c>
      <c r="D438" t="str">
        <f>IF('Clockify Raw'!A438="","",IF(LOWER('Clockify Raw'!A438)="break","Break","Work"))</f>
        <v/>
      </c>
      <c r="E438" t="str">
        <f>IF('Clockify Raw'!A438="","",IF(LOWER('Clockify Raw'!A438)="break","Break",IF('Clockify Raw'!C438&lt;&gt;"",'Clockify Raw'!C438,IF('Clockify Raw'!D438&lt;&gt;"",'Clockify Raw'!D438,'Clockify Raw'!A438))))</f>
        <v/>
      </c>
      <c r="F438" s="24" t="str">
        <f>IF('Clockify Raw'!O438="","",'Clockify Raw'!O438/24)</f>
        <v/>
      </c>
      <c r="G438" t="str">
        <f>IF(A438="","",COUNTIFS($A$2:$A$1000,A438,$B$2:$B$1000,"&lt;"&amp;B438)+COUNTIFS($A$2:A438,A438,$B$2:B438,B438))</f>
        <v/>
      </c>
      <c r="H438" t="str">
        <f t="shared" si="6"/>
        <v/>
      </c>
    </row>
    <row r="439" spans="1:8">
      <c r="A439" s="25" t="str">
        <f>IF('Clockify Raw'!J439="","",'Clockify Raw'!J439)</f>
        <v/>
      </c>
      <c r="B439" s="23" t="str">
        <f>IF('Clockify Raw'!K439="","",VALUE('Clockify Raw'!K439))</f>
        <v/>
      </c>
      <c r="C439" s="23" t="str">
        <f>IF('Clockify Raw'!M439="","",VALUE('Clockify Raw'!M439))</f>
        <v/>
      </c>
      <c r="D439" t="str">
        <f>IF('Clockify Raw'!A439="","",IF(LOWER('Clockify Raw'!A439)="break","Break","Work"))</f>
        <v/>
      </c>
      <c r="E439" t="str">
        <f>IF('Clockify Raw'!A439="","",IF(LOWER('Clockify Raw'!A439)="break","Break",IF('Clockify Raw'!C439&lt;&gt;"",'Clockify Raw'!C439,IF('Clockify Raw'!D439&lt;&gt;"",'Clockify Raw'!D439,'Clockify Raw'!A439))))</f>
        <v/>
      </c>
      <c r="F439" s="24" t="str">
        <f>IF('Clockify Raw'!O439="","",'Clockify Raw'!O439/24)</f>
        <v/>
      </c>
      <c r="G439" t="str">
        <f>IF(A439="","",COUNTIFS($A$2:$A$1000,A439,$B$2:$B$1000,"&lt;"&amp;B439)+COUNTIFS($A$2:A439,A439,$B$2:B439,B439))</f>
        <v/>
      </c>
      <c r="H439" t="str">
        <f t="shared" si="6"/>
        <v/>
      </c>
    </row>
    <row r="440" spans="1:8">
      <c r="A440" s="25" t="str">
        <f>IF('Clockify Raw'!J440="","",'Clockify Raw'!J440)</f>
        <v/>
      </c>
      <c r="B440" s="23" t="str">
        <f>IF('Clockify Raw'!K440="","",VALUE('Clockify Raw'!K440))</f>
        <v/>
      </c>
      <c r="C440" s="23" t="str">
        <f>IF('Clockify Raw'!M440="","",VALUE('Clockify Raw'!M440))</f>
        <v/>
      </c>
      <c r="D440" t="str">
        <f>IF('Clockify Raw'!A440="","",IF(LOWER('Clockify Raw'!A440)="break","Break","Work"))</f>
        <v/>
      </c>
      <c r="E440" t="str">
        <f>IF('Clockify Raw'!A440="","",IF(LOWER('Clockify Raw'!A440)="break","Break",IF('Clockify Raw'!C440&lt;&gt;"",'Clockify Raw'!C440,IF('Clockify Raw'!D440&lt;&gt;"",'Clockify Raw'!D440,'Clockify Raw'!A440))))</f>
        <v/>
      </c>
      <c r="F440" s="24" t="str">
        <f>IF('Clockify Raw'!O440="","",'Clockify Raw'!O440/24)</f>
        <v/>
      </c>
      <c r="G440" t="str">
        <f>IF(A440="","",COUNTIFS($A$2:$A$1000,A440,$B$2:$B$1000,"&lt;"&amp;B440)+COUNTIFS($A$2:A440,A440,$B$2:B440,B440))</f>
        <v/>
      </c>
      <c r="H440" t="str">
        <f t="shared" si="6"/>
        <v/>
      </c>
    </row>
    <row r="441" spans="1:8">
      <c r="A441" s="25" t="str">
        <f>IF('Clockify Raw'!J441="","",'Clockify Raw'!J441)</f>
        <v/>
      </c>
      <c r="B441" s="23" t="str">
        <f>IF('Clockify Raw'!K441="","",VALUE('Clockify Raw'!K441))</f>
        <v/>
      </c>
      <c r="C441" s="23" t="str">
        <f>IF('Clockify Raw'!M441="","",VALUE('Clockify Raw'!M441))</f>
        <v/>
      </c>
      <c r="D441" t="str">
        <f>IF('Clockify Raw'!A441="","",IF(LOWER('Clockify Raw'!A441)="break","Break","Work"))</f>
        <v/>
      </c>
      <c r="E441" t="str">
        <f>IF('Clockify Raw'!A441="","",IF(LOWER('Clockify Raw'!A441)="break","Break",IF('Clockify Raw'!C441&lt;&gt;"",'Clockify Raw'!C441,IF('Clockify Raw'!D441&lt;&gt;"",'Clockify Raw'!D441,'Clockify Raw'!A441))))</f>
        <v/>
      </c>
      <c r="F441" s="24" t="str">
        <f>IF('Clockify Raw'!O441="","",'Clockify Raw'!O441/24)</f>
        <v/>
      </c>
      <c r="G441" t="str">
        <f>IF(A441="","",COUNTIFS($A$2:$A$1000,A441,$B$2:$B$1000,"&lt;"&amp;B441)+COUNTIFS($A$2:A441,A441,$B$2:B441,B441))</f>
        <v/>
      </c>
      <c r="H441" t="str">
        <f t="shared" si="6"/>
        <v/>
      </c>
    </row>
    <row r="442" spans="1:8">
      <c r="A442" s="25" t="str">
        <f>IF('Clockify Raw'!J442="","",'Clockify Raw'!J442)</f>
        <v/>
      </c>
      <c r="B442" s="23" t="str">
        <f>IF('Clockify Raw'!K442="","",VALUE('Clockify Raw'!K442))</f>
        <v/>
      </c>
      <c r="C442" s="23" t="str">
        <f>IF('Clockify Raw'!M442="","",VALUE('Clockify Raw'!M442))</f>
        <v/>
      </c>
      <c r="D442" t="str">
        <f>IF('Clockify Raw'!A442="","",IF(LOWER('Clockify Raw'!A442)="break","Break","Work"))</f>
        <v/>
      </c>
      <c r="E442" t="str">
        <f>IF('Clockify Raw'!A442="","",IF(LOWER('Clockify Raw'!A442)="break","Break",IF('Clockify Raw'!C442&lt;&gt;"",'Clockify Raw'!C442,IF('Clockify Raw'!D442&lt;&gt;"",'Clockify Raw'!D442,'Clockify Raw'!A442))))</f>
        <v/>
      </c>
      <c r="F442" s="24" t="str">
        <f>IF('Clockify Raw'!O442="","",'Clockify Raw'!O442/24)</f>
        <v/>
      </c>
      <c r="G442" t="str">
        <f>IF(A442="","",COUNTIFS($A$2:$A$1000,A442,$B$2:$B$1000,"&lt;"&amp;B442)+COUNTIFS($A$2:A442,A442,$B$2:B442,B442))</f>
        <v/>
      </c>
      <c r="H442" t="str">
        <f t="shared" si="6"/>
        <v/>
      </c>
    </row>
    <row r="443" spans="1:8">
      <c r="A443" s="25" t="str">
        <f>IF('Clockify Raw'!J443="","",'Clockify Raw'!J443)</f>
        <v/>
      </c>
      <c r="B443" s="23" t="str">
        <f>IF('Clockify Raw'!K443="","",VALUE('Clockify Raw'!K443))</f>
        <v/>
      </c>
      <c r="C443" s="23" t="str">
        <f>IF('Clockify Raw'!M443="","",VALUE('Clockify Raw'!M443))</f>
        <v/>
      </c>
      <c r="D443" t="str">
        <f>IF('Clockify Raw'!A443="","",IF(LOWER('Clockify Raw'!A443)="break","Break","Work"))</f>
        <v/>
      </c>
      <c r="E443" t="str">
        <f>IF('Clockify Raw'!A443="","",IF(LOWER('Clockify Raw'!A443)="break","Break",IF('Clockify Raw'!C443&lt;&gt;"",'Clockify Raw'!C443,IF('Clockify Raw'!D443&lt;&gt;"",'Clockify Raw'!D443,'Clockify Raw'!A443))))</f>
        <v/>
      </c>
      <c r="F443" s="24" t="str">
        <f>IF('Clockify Raw'!O443="","",'Clockify Raw'!O443/24)</f>
        <v/>
      </c>
      <c r="G443" t="str">
        <f>IF(A443="","",COUNTIFS($A$2:$A$1000,A443,$B$2:$B$1000,"&lt;"&amp;B443)+COUNTIFS($A$2:A443,A443,$B$2:B443,B443))</f>
        <v/>
      </c>
      <c r="H443" t="str">
        <f t="shared" si="6"/>
        <v/>
      </c>
    </row>
    <row r="444" spans="1:8">
      <c r="A444" s="25" t="str">
        <f>IF('Clockify Raw'!J444="","",'Clockify Raw'!J444)</f>
        <v/>
      </c>
      <c r="B444" s="23" t="str">
        <f>IF('Clockify Raw'!K444="","",VALUE('Clockify Raw'!K444))</f>
        <v/>
      </c>
      <c r="C444" s="23" t="str">
        <f>IF('Clockify Raw'!M444="","",VALUE('Clockify Raw'!M444))</f>
        <v/>
      </c>
      <c r="D444" t="str">
        <f>IF('Clockify Raw'!A444="","",IF(LOWER('Clockify Raw'!A444)="break","Break","Work"))</f>
        <v/>
      </c>
      <c r="E444" t="str">
        <f>IF('Clockify Raw'!A444="","",IF(LOWER('Clockify Raw'!A444)="break","Break",IF('Clockify Raw'!C444&lt;&gt;"",'Clockify Raw'!C444,IF('Clockify Raw'!D444&lt;&gt;"",'Clockify Raw'!D444,'Clockify Raw'!A444))))</f>
        <v/>
      </c>
      <c r="F444" s="24" t="str">
        <f>IF('Clockify Raw'!O444="","",'Clockify Raw'!O444/24)</f>
        <v/>
      </c>
      <c r="G444" t="str">
        <f>IF(A444="","",COUNTIFS($A$2:$A$1000,A444,$B$2:$B$1000,"&lt;"&amp;B444)+COUNTIFS($A$2:A444,A444,$B$2:B444,B444))</f>
        <v/>
      </c>
      <c r="H444" t="str">
        <f t="shared" si="6"/>
        <v/>
      </c>
    </row>
    <row r="445" spans="1:8">
      <c r="A445" s="25" t="str">
        <f>IF('Clockify Raw'!J445="","",'Clockify Raw'!J445)</f>
        <v/>
      </c>
      <c r="B445" s="23" t="str">
        <f>IF('Clockify Raw'!K445="","",VALUE('Clockify Raw'!K445))</f>
        <v/>
      </c>
      <c r="C445" s="23" t="str">
        <f>IF('Clockify Raw'!M445="","",VALUE('Clockify Raw'!M445))</f>
        <v/>
      </c>
      <c r="D445" t="str">
        <f>IF('Clockify Raw'!A445="","",IF(LOWER('Clockify Raw'!A445)="break","Break","Work"))</f>
        <v/>
      </c>
      <c r="E445" t="str">
        <f>IF('Clockify Raw'!A445="","",IF(LOWER('Clockify Raw'!A445)="break","Break",IF('Clockify Raw'!C445&lt;&gt;"",'Clockify Raw'!C445,IF('Clockify Raw'!D445&lt;&gt;"",'Clockify Raw'!D445,'Clockify Raw'!A445))))</f>
        <v/>
      </c>
      <c r="F445" s="24" t="str">
        <f>IF('Clockify Raw'!O445="","",'Clockify Raw'!O445/24)</f>
        <v/>
      </c>
      <c r="G445" t="str">
        <f>IF(A445="","",COUNTIFS($A$2:$A$1000,A445,$B$2:$B$1000,"&lt;"&amp;B445)+COUNTIFS($A$2:A445,A445,$B$2:B445,B445))</f>
        <v/>
      </c>
      <c r="H445" t="str">
        <f t="shared" si="6"/>
        <v/>
      </c>
    </row>
    <row r="446" spans="1:8">
      <c r="A446" s="25" t="str">
        <f>IF('Clockify Raw'!J446="","",'Clockify Raw'!J446)</f>
        <v/>
      </c>
      <c r="B446" s="23" t="str">
        <f>IF('Clockify Raw'!K446="","",VALUE('Clockify Raw'!K446))</f>
        <v/>
      </c>
      <c r="C446" s="23" t="str">
        <f>IF('Clockify Raw'!M446="","",VALUE('Clockify Raw'!M446))</f>
        <v/>
      </c>
      <c r="D446" t="str">
        <f>IF('Clockify Raw'!A446="","",IF(LOWER('Clockify Raw'!A446)="break","Break","Work"))</f>
        <v/>
      </c>
      <c r="E446" t="str">
        <f>IF('Clockify Raw'!A446="","",IF(LOWER('Clockify Raw'!A446)="break","Break",IF('Clockify Raw'!C446&lt;&gt;"",'Clockify Raw'!C446,IF('Clockify Raw'!D446&lt;&gt;"",'Clockify Raw'!D446,'Clockify Raw'!A446))))</f>
        <v/>
      </c>
      <c r="F446" s="24" t="str">
        <f>IF('Clockify Raw'!O446="","",'Clockify Raw'!O446/24)</f>
        <v/>
      </c>
      <c r="G446" t="str">
        <f>IF(A446="","",COUNTIFS($A$2:$A$1000,A446,$B$2:$B$1000,"&lt;"&amp;B446)+COUNTIFS($A$2:A446,A446,$B$2:B446,B446))</f>
        <v/>
      </c>
      <c r="H446" t="str">
        <f t="shared" si="6"/>
        <v/>
      </c>
    </row>
    <row r="447" spans="1:8">
      <c r="A447" s="25" t="str">
        <f>IF('Clockify Raw'!J447="","",'Clockify Raw'!J447)</f>
        <v/>
      </c>
      <c r="B447" s="23" t="str">
        <f>IF('Clockify Raw'!K447="","",VALUE('Clockify Raw'!K447))</f>
        <v/>
      </c>
      <c r="C447" s="23" t="str">
        <f>IF('Clockify Raw'!M447="","",VALUE('Clockify Raw'!M447))</f>
        <v/>
      </c>
      <c r="D447" t="str">
        <f>IF('Clockify Raw'!A447="","",IF(LOWER('Clockify Raw'!A447)="break","Break","Work"))</f>
        <v/>
      </c>
      <c r="E447" t="str">
        <f>IF('Clockify Raw'!A447="","",IF(LOWER('Clockify Raw'!A447)="break","Break",IF('Clockify Raw'!C447&lt;&gt;"",'Clockify Raw'!C447,IF('Clockify Raw'!D447&lt;&gt;"",'Clockify Raw'!D447,'Clockify Raw'!A447))))</f>
        <v/>
      </c>
      <c r="F447" s="24" t="str">
        <f>IF('Clockify Raw'!O447="","",'Clockify Raw'!O447/24)</f>
        <v/>
      </c>
      <c r="G447" t="str">
        <f>IF(A447="","",COUNTIFS($A$2:$A$1000,A447,$B$2:$B$1000,"&lt;"&amp;B447)+COUNTIFS($A$2:A447,A447,$B$2:B447,B447))</f>
        <v/>
      </c>
      <c r="H447" t="str">
        <f t="shared" si="6"/>
        <v/>
      </c>
    </row>
    <row r="448" spans="1:8">
      <c r="A448" s="25" t="str">
        <f>IF('Clockify Raw'!J448="","",'Clockify Raw'!J448)</f>
        <v/>
      </c>
      <c r="B448" s="23" t="str">
        <f>IF('Clockify Raw'!K448="","",VALUE('Clockify Raw'!K448))</f>
        <v/>
      </c>
      <c r="C448" s="23" t="str">
        <f>IF('Clockify Raw'!M448="","",VALUE('Clockify Raw'!M448))</f>
        <v/>
      </c>
      <c r="D448" t="str">
        <f>IF('Clockify Raw'!A448="","",IF(LOWER('Clockify Raw'!A448)="break","Break","Work"))</f>
        <v/>
      </c>
      <c r="E448" t="str">
        <f>IF('Clockify Raw'!A448="","",IF(LOWER('Clockify Raw'!A448)="break","Break",IF('Clockify Raw'!C448&lt;&gt;"",'Clockify Raw'!C448,IF('Clockify Raw'!D448&lt;&gt;"",'Clockify Raw'!D448,'Clockify Raw'!A448))))</f>
        <v/>
      </c>
      <c r="F448" s="24" t="str">
        <f>IF('Clockify Raw'!O448="","",'Clockify Raw'!O448/24)</f>
        <v/>
      </c>
      <c r="G448" t="str">
        <f>IF(A448="","",COUNTIFS($A$2:$A$1000,A448,$B$2:$B$1000,"&lt;"&amp;B448)+COUNTIFS($A$2:A448,A448,$B$2:B448,B448))</f>
        <v/>
      </c>
      <c r="H448" t="str">
        <f t="shared" si="6"/>
        <v/>
      </c>
    </row>
    <row r="449" spans="1:8">
      <c r="A449" s="25" t="str">
        <f>IF('Clockify Raw'!J449="","",'Clockify Raw'!J449)</f>
        <v/>
      </c>
      <c r="B449" s="23" t="str">
        <f>IF('Clockify Raw'!K449="","",VALUE('Clockify Raw'!K449))</f>
        <v/>
      </c>
      <c r="C449" s="23" t="str">
        <f>IF('Clockify Raw'!M449="","",VALUE('Clockify Raw'!M449))</f>
        <v/>
      </c>
      <c r="D449" t="str">
        <f>IF('Clockify Raw'!A449="","",IF(LOWER('Clockify Raw'!A449)="break","Break","Work"))</f>
        <v/>
      </c>
      <c r="E449" t="str">
        <f>IF('Clockify Raw'!A449="","",IF(LOWER('Clockify Raw'!A449)="break","Break",IF('Clockify Raw'!C449&lt;&gt;"",'Clockify Raw'!C449,IF('Clockify Raw'!D449&lt;&gt;"",'Clockify Raw'!D449,'Clockify Raw'!A449))))</f>
        <v/>
      </c>
      <c r="F449" s="24" t="str">
        <f>IF('Clockify Raw'!O449="","",'Clockify Raw'!O449/24)</f>
        <v/>
      </c>
      <c r="G449" t="str">
        <f>IF(A449="","",COUNTIFS($A$2:$A$1000,A449,$B$2:$B$1000,"&lt;"&amp;B449)+COUNTIFS($A$2:A449,A449,$B$2:B449,B449))</f>
        <v/>
      </c>
      <c r="H449" t="str">
        <f t="shared" si="6"/>
        <v/>
      </c>
    </row>
    <row r="450" spans="1:8">
      <c r="A450" s="25" t="str">
        <f>IF('Clockify Raw'!J450="","",'Clockify Raw'!J450)</f>
        <v/>
      </c>
      <c r="B450" s="23" t="str">
        <f>IF('Clockify Raw'!K450="","",VALUE('Clockify Raw'!K450))</f>
        <v/>
      </c>
      <c r="C450" s="23" t="str">
        <f>IF('Clockify Raw'!M450="","",VALUE('Clockify Raw'!M450))</f>
        <v/>
      </c>
      <c r="D450" t="str">
        <f>IF('Clockify Raw'!A450="","",IF(LOWER('Clockify Raw'!A450)="break","Break","Work"))</f>
        <v/>
      </c>
      <c r="E450" t="str">
        <f>IF('Clockify Raw'!A450="","",IF(LOWER('Clockify Raw'!A450)="break","Break",IF('Clockify Raw'!C450&lt;&gt;"",'Clockify Raw'!C450,IF('Clockify Raw'!D450&lt;&gt;"",'Clockify Raw'!D450,'Clockify Raw'!A450))))</f>
        <v/>
      </c>
      <c r="F450" s="24" t="str">
        <f>IF('Clockify Raw'!O450="","",'Clockify Raw'!O450/24)</f>
        <v/>
      </c>
      <c r="G450" t="str">
        <f>IF(A450="","",COUNTIFS($A$2:$A$1000,A450,$B$2:$B$1000,"&lt;"&amp;B450)+COUNTIFS($A$2:A450,A450,$B$2:B450,B450))</f>
        <v/>
      </c>
      <c r="H450" t="str">
        <f t="shared" ref="H450:H513" si="7">IF(A450="","",TEXT(A450,"yyyymmdd")&amp;"|"&amp;G450)</f>
        <v/>
      </c>
    </row>
    <row r="451" spans="1:8">
      <c r="A451" s="25" t="str">
        <f>IF('Clockify Raw'!J451="","",'Clockify Raw'!J451)</f>
        <v/>
      </c>
      <c r="B451" s="23" t="str">
        <f>IF('Clockify Raw'!K451="","",VALUE('Clockify Raw'!K451))</f>
        <v/>
      </c>
      <c r="C451" s="23" t="str">
        <f>IF('Clockify Raw'!M451="","",VALUE('Clockify Raw'!M451))</f>
        <v/>
      </c>
      <c r="D451" t="str">
        <f>IF('Clockify Raw'!A451="","",IF(LOWER('Clockify Raw'!A451)="break","Break","Work"))</f>
        <v/>
      </c>
      <c r="E451" t="str">
        <f>IF('Clockify Raw'!A451="","",IF(LOWER('Clockify Raw'!A451)="break","Break",IF('Clockify Raw'!C451&lt;&gt;"",'Clockify Raw'!C451,IF('Clockify Raw'!D451&lt;&gt;"",'Clockify Raw'!D451,'Clockify Raw'!A451))))</f>
        <v/>
      </c>
      <c r="F451" s="24" t="str">
        <f>IF('Clockify Raw'!O451="","",'Clockify Raw'!O451/24)</f>
        <v/>
      </c>
      <c r="G451" t="str">
        <f>IF(A451="","",COUNTIFS($A$2:$A$1000,A451,$B$2:$B$1000,"&lt;"&amp;B451)+COUNTIFS($A$2:A451,A451,$B$2:B451,B451))</f>
        <v/>
      </c>
      <c r="H451" t="str">
        <f t="shared" si="7"/>
        <v/>
      </c>
    </row>
    <row r="452" spans="1:8">
      <c r="A452" s="25" t="str">
        <f>IF('Clockify Raw'!J452="","",'Clockify Raw'!J452)</f>
        <v/>
      </c>
      <c r="B452" s="23" t="str">
        <f>IF('Clockify Raw'!K452="","",VALUE('Clockify Raw'!K452))</f>
        <v/>
      </c>
      <c r="C452" s="23" t="str">
        <f>IF('Clockify Raw'!M452="","",VALUE('Clockify Raw'!M452))</f>
        <v/>
      </c>
      <c r="D452" t="str">
        <f>IF('Clockify Raw'!A452="","",IF(LOWER('Clockify Raw'!A452)="break","Break","Work"))</f>
        <v/>
      </c>
      <c r="E452" t="str">
        <f>IF('Clockify Raw'!A452="","",IF(LOWER('Clockify Raw'!A452)="break","Break",IF('Clockify Raw'!C452&lt;&gt;"",'Clockify Raw'!C452,IF('Clockify Raw'!D452&lt;&gt;"",'Clockify Raw'!D452,'Clockify Raw'!A452))))</f>
        <v/>
      </c>
      <c r="F452" s="24" t="str">
        <f>IF('Clockify Raw'!O452="","",'Clockify Raw'!O452/24)</f>
        <v/>
      </c>
      <c r="G452" t="str">
        <f>IF(A452="","",COUNTIFS($A$2:$A$1000,A452,$B$2:$B$1000,"&lt;"&amp;B452)+COUNTIFS($A$2:A452,A452,$B$2:B452,B452))</f>
        <v/>
      </c>
      <c r="H452" t="str">
        <f t="shared" si="7"/>
        <v/>
      </c>
    </row>
    <row r="453" spans="1:8">
      <c r="A453" s="25" t="str">
        <f>IF('Clockify Raw'!J453="","",'Clockify Raw'!J453)</f>
        <v/>
      </c>
      <c r="B453" s="23" t="str">
        <f>IF('Clockify Raw'!K453="","",VALUE('Clockify Raw'!K453))</f>
        <v/>
      </c>
      <c r="C453" s="23" t="str">
        <f>IF('Clockify Raw'!M453="","",VALUE('Clockify Raw'!M453))</f>
        <v/>
      </c>
      <c r="D453" t="str">
        <f>IF('Clockify Raw'!A453="","",IF(LOWER('Clockify Raw'!A453)="break","Break","Work"))</f>
        <v/>
      </c>
      <c r="E453" t="str">
        <f>IF('Clockify Raw'!A453="","",IF(LOWER('Clockify Raw'!A453)="break","Break",IF('Clockify Raw'!C453&lt;&gt;"",'Clockify Raw'!C453,IF('Clockify Raw'!D453&lt;&gt;"",'Clockify Raw'!D453,'Clockify Raw'!A453))))</f>
        <v/>
      </c>
      <c r="F453" s="24" t="str">
        <f>IF('Clockify Raw'!O453="","",'Clockify Raw'!O453/24)</f>
        <v/>
      </c>
      <c r="G453" t="str">
        <f>IF(A453="","",COUNTIFS($A$2:$A$1000,A453,$B$2:$B$1000,"&lt;"&amp;B453)+COUNTIFS($A$2:A453,A453,$B$2:B453,B453))</f>
        <v/>
      </c>
      <c r="H453" t="str">
        <f t="shared" si="7"/>
        <v/>
      </c>
    </row>
    <row r="454" spans="1:8">
      <c r="A454" s="25" t="str">
        <f>IF('Clockify Raw'!J454="","",'Clockify Raw'!J454)</f>
        <v/>
      </c>
      <c r="B454" s="23" t="str">
        <f>IF('Clockify Raw'!K454="","",VALUE('Clockify Raw'!K454))</f>
        <v/>
      </c>
      <c r="C454" s="23" t="str">
        <f>IF('Clockify Raw'!M454="","",VALUE('Clockify Raw'!M454))</f>
        <v/>
      </c>
      <c r="D454" t="str">
        <f>IF('Clockify Raw'!A454="","",IF(LOWER('Clockify Raw'!A454)="break","Break","Work"))</f>
        <v/>
      </c>
      <c r="E454" t="str">
        <f>IF('Clockify Raw'!A454="","",IF(LOWER('Clockify Raw'!A454)="break","Break",IF('Clockify Raw'!C454&lt;&gt;"",'Clockify Raw'!C454,IF('Clockify Raw'!D454&lt;&gt;"",'Clockify Raw'!D454,'Clockify Raw'!A454))))</f>
        <v/>
      </c>
      <c r="F454" s="24" t="str">
        <f>IF('Clockify Raw'!O454="","",'Clockify Raw'!O454/24)</f>
        <v/>
      </c>
      <c r="G454" t="str">
        <f>IF(A454="","",COUNTIFS($A$2:$A$1000,A454,$B$2:$B$1000,"&lt;"&amp;B454)+COUNTIFS($A$2:A454,A454,$B$2:B454,B454))</f>
        <v/>
      </c>
      <c r="H454" t="str">
        <f t="shared" si="7"/>
        <v/>
      </c>
    </row>
    <row r="455" spans="1:8">
      <c r="A455" s="25" t="str">
        <f>IF('Clockify Raw'!J455="","",'Clockify Raw'!J455)</f>
        <v/>
      </c>
      <c r="B455" s="23" t="str">
        <f>IF('Clockify Raw'!K455="","",VALUE('Clockify Raw'!K455))</f>
        <v/>
      </c>
      <c r="C455" s="23" t="str">
        <f>IF('Clockify Raw'!M455="","",VALUE('Clockify Raw'!M455))</f>
        <v/>
      </c>
      <c r="D455" t="str">
        <f>IF('Clockify Raw'!A455="","",IF(LOWER('Clockify Raw'!A455)="break","Break","Work"))</f>
        <v/>
      </c>
      <c r="E455" t="str">
        <f>IF('Clockify Raw'!A455="","",IF(LOWER('Clockify Raw'!A455)="break","Break",IF('Clockify Raw'!C455&lt;&gt;"",'Clockify Raw'!C455,IF('Clockify Raw'!D455&lt;&gt;"",'Clockify Raw'!D455,'Clockify Raw'!A455))))</f>
        <v/>
      </c>
      <c r="F455" s="24" t="str">
        <f>IF('Clockify Raw'!O455="","",'Clockify Raw'!O455/24)</f>
        <v/>
      </c>
      <c r="G455" t="str">
        <f>IF(A455="","",COUNTIFS($A$2:$A$1000,A455,$B$2:$B$1000,"&lt;"&amp;B455)+COUNTIFS($A$2:A455,A455,$B$2:B455,B455))</f>
        <v/>
      </c>
      <c r="H455" t="str">
        <f t="shared" si="7"/>
        <v/>
      </c>
    </row>
    <row r="456" spans="1:8">
      <c r="A456" s="25" t="str">
        <f>IF('Clockify Raw'!J456="","",'Clockify Raw'!J456)</f>
        <v/>
      </c>
      <c r="B456" s="23" t="str">
        <f>IF('Clockify Raw'!K456="","",VALUE('Clockify Raw'!K456))</f>
        <v/>
      </c>
      <c r="C456" s="23" t="str">
        <f>IF('Clockify Raw'!M456="","",VALUE('Clockify Raw'!M456))</f>
        <v/>
      </c>
      <c r="D456" t="str">
        <f>IF('Clockify Raw'!A456="","",IF(LOWER('Clockify Raw'!A456)="break","Break","Work"))</f>
        <v/>
      </c>
      <c r="E456" t="str">
        <f>IF('Clockify Raw'!A456="","",IF(LOWER('Clockify Raw'!A456)="break","Break",IF('Clockify Raw'!C456&lt;&gt;"",'Clockify Raw'!C456,IF('Clockify Raw'!D456&lt;&gt;"",'Clockify Raw'!D456,'Clockify Raw'!A456))))</f>
        <v/>
      </c>
      <c r="F456" s="24" t="str">
        <f>IF('Clockify Raw'!O456="","",'Clockify Raw'!O456/24)</f>
        <v/>
      </c>
      <c r="G456" t="str">
        <f>IF(A456="","",COUNTIFS($A$2:$A$1000,A456,$B$2:$B$1000,"&lt;"&amp;B456)+COUNTIFS($A$2:A456,A456,$B$2:B456,B456))</f>
        <v/>
      </c>
      <c r="H456" t="str">
        <f t="shared" si="7"/>
        <v/>
      </c>
    </row>
    <row r="457" spans="1:8">
      <c r="A457" s="25" t="str">
        <f>IF('Clockify Raw'!J457="","",'Clockify Raw'!J457)</f>
        <v/>
      </c>
      <c r="B457" s="23" t="str">
        <f>IF('Clockify Raw'!K457="","",VALUE('Clockify Raw'!K457))</f>
        <v/>
      </c>
      <c r="C457" s="23" t="str">
        <f>IF('Clockify Raw'!M457="","",VALUE('Clockify Raw'!M457))</f>
        <v/>
      </c>
      <c r="D457" t="str">
        <f>IF('Clockify Raw'!A457="","",IF(LOWER('Clockify Raw'!A457)="break","Break","Work"))</f>
        <v/>
      </c>
      <c r="E457" t="str">
        <f>IF('Clockify Raw'!A457="","",IF(LOWER('Clockify Raw'!A457)="break","Break",IF('Clockify Raw'!C457&lt;&gt;"",'Clockify Raw'!C457,IF('Clockify Raw'!D457&lt;&gt;"",'Clockify Raw'!D457,'Clockify Raw'!A457))))</f>
        <v/>
      </c>
      <c r="F457" s="24" t="str">
        <f>IF('Clockify Raw'!O457="","",'Clockify Raw'!O457/24)</f>
        <v/>
      </c>
      <c r="G457" t="str">
        <f>IF(A457="","",COUNTIFS($A$2:$A$1000,A457,$B$2:$B$1000,"&lt;"&amp;B457)+COUNTIFS($A$2:A457,A457,$B$2:B457,B457))</f>
        <v/>
      </c>
      <c r="H457" t="str">
        <f t="shared" si="7"/>
        <v/>
      </c>
    </row>
    <row r="458" spans="1:8">
      <c r="A458" s="25" t="str">
        <f>IF('Clockify Raw'!J458="","",'Clockify Raw'!J458)</f>
        <v/>
      </c>
      <c r="B458" s="23" t="str">
        <f>IF('Clockify Raw'!K458="","",VALUE('Clockify Raw'!K458))</f>
        <v/>
      </c>
      <c r="C458" s="23" t="str">
        <f>IF('Clockify Raw'!M458="","",VALUE('Clockify Raw'!M458))</f>
        <v/>
      </c>
      <c r="D458" t="str">
        <f>IF('Clockify Raw'!A458="","",IF(LOWER('Clockify Raw'!A458)="break","Break","Work"))</f>
        <v/>
      </c>
      <c r="E458" t="str">
        <f>IF('Clockify Raw'!A458="","",IF(LOWER('Clockify Raw'!A458)="break","Break",IF('Clockify Raw'!C458&lt;&gt;"",'Clockify Raw'!C458,IF('Clockify Raw'!D458&lt;&gt;"",'Clockify Raw'!D458,'Clockify Raw'!A458))))</f>
        <v/>
      </c>
      <c r="F458" s="24" t="str">
        <f>IF('Clockify Raw'!O458="","",'Clockify Raw'!O458/24)</f>
        <v/>
      </c>
      <c r="G458" t="str">
        <f>IF(A458="","",COUNTIFS($A$2:$A$1000,A458,$B$2:$B$1000,"&lt;"&amp;B458)+COUNTIFS($A$2:A458,A458,$B$2:B458,B458))</f>
        <v/>
      </c>
      <c r="H458" t="str">
        <f t="shared" si="7"/>
        <v/>
      </c>
    </row>
    <row r="459" spans="1:8">
      <c r="A459" s="25" t="str">
        <f>IF('Clockify Raw'!J459="","",'Clockify Raw'!J459)</f>
        <v/>
      </c>
      <c r="B459" s="23" t="str">
        <f>IF('Clockify Raw'!K459="","",VALUE('Clockify Raw'!K459))</f>
        <v/>
      </c>
      <c r="C459" s="23" t="str">
        <f>IF('Clockify Raw'!M459="","",VALUE('Clockify Raw'!M459))</f>
        <v/>
      </c>
      <c r="D459" t="str">
        <f>IF('Clockify Raw'!A459="","",IF(LOWER('Clockify Raw'!A459)="break","Break","Work"))</f>
        <v/>
      </c>
      <c r="E459" t="str">
        <f>IF('Clockify Raw'!A459="","",IF(LOWER('Clockify Raw'!A459)="break","Break",IF('Clockify Raw'!C459&lt;&gt;"",'Clockify Raw'!C459,IF('Clockify Raw'!D459&lt;&gt;"",'Clockify Raw'!D459,'Clockify Raw'!A459))))</f>
        <v/>
      </c>
      <c r="F459" s="24" t="str">
        <f>IF('Clockify Raw'!O459="","",'Clockify Raw'!O459/24)</f>
        <v/>
      </c>
      <c r="G459" t="str">
        <f>IF(A459="","",COUNTIFS($A$2:$A$1000,A459,$B$2:$B$1000,"&lt;"&amp;B459)+COUNTIFS($A$2:A459,A459,$B$2:B459,B459))</f>
        <v/>
      </c>
      <c r="H459" t="str">
        <f t="shared" si="7"/>
        <v/>
      </c>
    </row>
    <row r="460" spans="1:8">
      <c r="A460" s="25" t="str">
        <f>IF('Clockify Raw'!J460="","",'Clockify Raw'!J460)</f>
        <v/>
      </c>
      <c r="B460" s="23" t="str">
        <f>IF('Clockify Raw'!K460="","",VALUE('Clockify Raw'!K460))</f>
        <v/>
      </c>
      <c r="C460" s="23" t="str">
        <f>IF('Clockify Raw'!M460="","",VALUE('Clockify Raw'!M460))</f>
        <v/>
      </c>
      <c r="D460" t="str">
        <f>IF('Clockify Raw'!A460="","",IF(LOWER('Clockify Raw'!A460)="break","Break","Work"))</f>
        <v/>
      </c>
      <c r="E460" t="str">
        <f>IF('Clockify Raw'!A460="","",IF(LOWER('Clockify Raw'!A460)="break","Break",IF('Clockify Raw'!C460&lt;&gt;"",'Clockify Raw'!C460,IF('Clockify Raw'!D460&lt;&gt;"",'Clockify Raw'!D460,'Clockify Raw'!A460))))</f>
        <v/>
      </c>
      <c r="F460" s="24" t="str">
        <f>IF('Clockify Raw'!O460="","",'Clockify Raw'!O460/24)</f>
        <v/>
      </c>
      <c r="G460" t="str">
        <f>IF(A460="","",COUNTIFS($A$2:$A$1000,A460,$B$2:$B$1000,"&lt;"&amp;B460)+COUNTIFS($A$2:A460,A460,$B$2:B460,B460))</f>
        <v/>
      </c>
      <c r="H460" t="str">
        <f t="shared" si="7"/>
        <v/>
      </c>
    </row>
    <row r="461" spans="1:8">
      <c r="A461" s="25" t="str">
        <f>IF('Clockify Raw'!J461="","",'Clockify Raw'!J461)</f>
        <v/>
      </c>
      <c r="B461" s="23" t="str">
        <f>IF('Clockify Raw'!K461="","",VALUE('Clockify Raw'!K461))</f>
        <v/>
      </c>
      <c r="C461" s="23" t="str">
        <f>IF('Clockify Raw'!M461="","",VALUE('Clockify Raw'!M461))</f>
        <v/>
      </c>
      <c r="D461" t="str">
        <f>IF('Clockify Raw'!A461="","",IF(LOWER('Clockify Raw'!A461)="break","Break","Work"))</f>
        <v/>
      </c>
      <c r="E461" t="str">
        <f>IF('Clockify Raw'!A461="","",IF(LOWER('Clockify Raw'!A461)="break","Break",IF('Clockify Raw'!C461&lt;&gt;"",'Clockify Raw'!C461,IF('Clockify Raw'!D461&lt;&gt;"",'Clockify Raw'!D461,'Clockify Raw'!A461))))</f>
        <v/>
      </c>
      <c r="F461" s="24" t="str">
        <f>IF('Clockify Raw'!O461="","",'Clockify Raw'!O461/24)</f>
        <v/>
      </c>
      <c r="G461" t="str">
        <f>IF(A461="","",COUNTIFS($A$2:$A$1000,A461,$B$2:$B$1000,"&lt;"&amp;B461)+COUNTIFS($A$2:A461,A461,$B$2:B461,B461))</f>
        <v/>
      </c>
      <c r="H461" t="str">
        <f t="shared" si="7"/>
        <v/>
      </c>
    </row>
    <row r="462" spans="1:8">
      <c r="A462" s="25" t="str">
        <f>IF('Clockify Raw'!J462="","",'Clockify Raw'!J462)</f>
        <v/>
      </c>
      <c r="B462" s="23" t="str">
        <f>IF('Clockify Raw'!K462="","",VALUE('Clockify Raw'!K462))</f>
        <v/>
      </c>
      <c r="C462" s="23" t="str">
        <f>IF('Clockify Raw'!M462="","",VALUE('Clockify Raw'!M462))</f>
        <v/>
      </c>
      <c r="D462" t="str">
        <f>IF('Clockify Raw'!A462="","",IF(LOWER('Clockify Raw'!A462)="break","Break","Work"))</f>
        <v/>
      </c>
      <c r="E462" t="str">
        <f>IF('Clockify Raw'!A462="","",IF(LOWER('Clockify Raw'!A462)="break","Break",IF('Clockify Raw'!C462&lt;&gt;"",'Clockify Raw'!C462,IF('Clockify Raw'!D462&lt;&gt;"",'Clockify Raw'!D462,'Clockify Raw'!A462))))</f>
        <v/>
      </c>
      <c r="F462" s="24" t="str">
        <f>IF('Clockify Raw'!O462="","",'Clockify Raw'!O462/24)</f>
        <v/>
      </c>
      <c r="G462" t="str">
        <f>IF(A462="","",COUNTIFS($A$2:$A$1000,A462,$B$2:$B$1000,"&lt;"&amp;B462)+COUNTIFS($A$2:A462,A462,$B$2:B462,B462))</f>
        <v/>
      </c>
      <c r="H462" t="str">
        <f t="shared" si="7"/>
        <v/>
      </c>
    </row>
    <row r="463" spans="1:8">
      <c r="A463" s="25" t="str">
        <f>IF('Clockify Raw'!J463="","",'Clockify Raw'!J463)</f>
        <v/>
      </c>
      <c r="B463" s="23" t="str">
        <f>IF('Clockify Raw'!K463="","",VALUE('Clockify Raw'!K463))</f>
        <v/>
      </c>
      <c r="C463" s="23" t="str">
        <f>IF('Clockify Raw'!M463="","",VALUE('Clockify Raw'!M463))</f>
        <v/>
      </c>
      <c r="D463" t="str">
        <f>IF('Clockify Raw'!A463="","",IF(LOWER('Clockify Raw'!A463)="break","Break","Work"))</f>
        <v/>
      </c>
      <c r="E463" t="str">
        <f>IF('Clockify Raw'!A463="","",IF(LOWER('Clockify Raw'!A463)="break","Break",IF('Clockify Raw'!C463&lt;&gt;"",'Clockify Raw'!C463,IF('Clockify Raw'!D463&lt;&gt;"",'Clockify Raw'!D463,'Clockify Raw'!A463))))</f>
        <v/>
      </c>
      <c r="F463" s="24" t="str">
        <f>IF('Clockify Raw'!O463="","",'Clockify Raw'!O463/24)</f>
        <v/>
      </c>
      <c r="G463" t="str">
        <f>IF(A463="","",COUNTIFS($A$2:$A$1000,A463,$B$2:$B$1000,"&lt;"&amp;B463)+COUNTIFS($A$2:A463,A463,$B$2:B463,B463))</f>
        <v/>
      </c>
      <c r="H463" t="str">
        <f t="shared" si="7"/>
        <v/>
      </c>
    </row>
    <row r="464" spans="1:8">
      <c r="A464" s="25" t="str">
        <f>IF('Clockify Raw'!J464="","",'Clockify Raw'!J464)</f>
        <v/>
      </c>
      <c r="B464" s="23" t="str">
        <f>IF('Clockify Raw'!K464="","",VALUE('Clockify Raw'!K464))</f>
        <v/>
      </c>
      <c r="C464" s="23" t="str">
        <f>IF('Clockify Raw'!M464="","",VALUE('Clockify Raw'!M464))</f>
        <v/>
      </c>
      <c r="D464" t="str">
        <f>IF('Clockify Raw'!A464="","",IF(LOWER('Clockify Raw'!A464)="break","Break","Work"))</f>
        <v/>
      </c>
      <c r="E464" t="str">
        <f>IF('Clockify Raw'!A464="","",IF(LOWER('Clockify Raw'!A464)="break","Break",IF('Clockify Raw'!C464&lt;&gt;"",'Clockify Raw'!C464,IF('Clockify Raw'!D464&lt;&gt;"",'Clockify Raw'!D464,'Clockify Raw'!A464))))</f>
        <v/>
      </c>
      <c r="F464" s="24" t="str">
        <f>IF('Clockify Raw'!O464="","",'Clockify Raw'!O464/24)</f>
        <v/>
      </c>
      <c r="G464" t="str">
        <f>IF(A464="","",COUNTIFS($A$2:$A$1000,A464,$B$2:$B$1000,"&lt;"&amp;B464)+COUNTIFS($A$2:A464,A464,$B$2:B464,B464))</f>
        <v/>
      </c>
      <c r="H464" t="str">
        <f t="shared" si="7"/>
        <v/>
      </c>
    </row>
    <row r="465" spans="1:8">
      <c r="A465" s="25" t="str">
        <f>IF('Clockify Raw'!J465="","",'Clockify Raw'!J465)</f>
        <v/>
      </c>
      <c r="B465" s="23" t="str">
        <f>IF('Clockify Raw'!K465="","",VALUE('Clockify Raw'!K465))</f>
        <v/>
      </c>
      <c r="C465" s="23" t="str">
        <f>IF('Clockify Raw'!M465="","",VALUE('Clockify Raw'!M465))</f>
        <v/>
      </c>
      <c r="D465" t="str">
        <f>IF('Clockify Raw'!A465="","",IF(LOWER('Clockify Raw'!A465)="break","Break","Work"))</f>
        <v/>
      </c>
      <c r="E465" t="str">
        <f>IF('Clockify Raw'!A465="","",IF(LOWER('Clockify Raw'!A465)="break","Break",IF('Clockify Raw'!C465&lt;&gt;"",'Clockify Raw'!C465,IF('Clockify Raw'!D465&lt;&gt;"",'Clockify Raw'!D465,'Clockify Raw'!A465))))</f>
        <v/>
      </c>
      <c r="F465" s="24" t="str">
        <f>IF('Clockify Raw'!O465="","",'Clockify Raw'!O465/24)</f>
        <v/>
      </c>
      <c r="G465" t="str">
        <f>IF(A465="","",COUNTIFS($A$2:$A$1000,A465,$B$2:$B$1000,"&lt;"&amp;B465)+COUNTIFS($A$2:A465,A465,$B$2:B465,B465))</f>
        <v/>
      </c>
      <c r="H465" t="str">
        <f t="shared" si="7"/>
        <v/>
      </c>
    </row>
    <row r="466" spans="1:8">
      <c r="A466" s="25" t="str">
        <f>IF('Clockify Raw'!J466="","",'Clockify Raw'!J466)</f>
        <v/>
      </c>
      <c r="B466" s="23" t="str">
        <f>IF('Clockify Raw'!K466="","",VALUE('Clockify Raw'!K466))</f>
        <v/>
      </c>
      <c r="C466" s="23" t="str">
        <f>IF('Clockify Raw'!M466="","",VALUE('Clockify Raw'!M466))</f>
        <v/>
      </c>
      <c r="D466" t="str">
        <f>IF('Clockify Raw'!A466="","",IF(LOWER('Clockify Raw'!A466)="break","Break","Work"))</f>
        <v/>
      </c>
      <c r="E466" t="str">
        <f>IF('Clockify Raw'!A466="","",IF(LOWER('Clockify Raw'!A466)="break","Break",IF('Clockify Raw'!C466&lt;&gt;"",'Clockify Raw'!C466,IF('Clockify Raw'!D466&lt;&gt;"",'Clockify Raw'!D466,'Clockify Raw'!A466))))</f>
        <v/>
      </c>
      <c r="F466" s="24" t="str">
        <f>IF('Clockify Raw'!O466="","",'Clockify Raw'!O466/24)</f>
        <v/>
      </c>
      <c r="G466" t="str">
        <f>IF(A466="","",COUNTIFS($A$2:$A$1000,A466,$B$2:$B$1000,"&lt;"&amp;B466)+COUNTIFS($A$2:A466,A466,$B$2:B466,B466))</f>
        <v/>
      </c>
      <c r="H466" t="str">
        <f t="shared" si="7"/>
        <v/>
      </c>
    </row>
    <row r="467" spans="1:8">
      <c r="A467" s="25" t="str">
        <f>IF('Clockify Raw'!J467="","",'Clockify Raw'!J467)</f>
        <v/>
      </c>
      <c r="B467" s="23" t="str">
        <f>IF('Clockify Raw'!K467="","",VALUE('Clockify Raw'!K467))</f>
        <v/>
      </c>
      <c r="C467" s="23" t="str">
        <f>IF('Clockify Raw'!M467="","",VALUE('Clockify Raw'!M467))</f>
        <v/>
      </c>
      <c r="D467" t="str">
        <f>IF('Clockify Raw'!A467="","",IF(LOWER('Clockify Raw'!A467)="break","Break","Work"))</f>
        <v/>
      </c>
      <c r="E467" t="str">
        <f>IF('Clockify Raw'!A467="","",IF(LOWER('Clockify Raw'!A467)="break","Break",IF('Clockify Raw'!C467&lt;&gt;"",'Clockify Raw'!C467,IF('Clockify Raw'!D467&lt;&gt;"",'Clockify Raw'!D467,'Clockify Raw'!A467))))</f>
        <v/>
      </c>
      <c r="F467" s="24" t="str">
        <f>IF('Clockify Raw'!O467="","",'Clockify Raw'!O467/24)</f>
        <v/>
      </c>
      <c r="G467" t="str">
        <f>IF(A467="","",COUNTIFS($A$2:$A$1000,A467,$B$2:$B$1000,"&lt;"&amp;B467)+COUNTIFS($A$2:A467,A467,$B$2:B467,B467))</f>
        <v/>
      </c>
      <c r="H467" t="str">
        <f t="shared" si="7"/>
        <v/>
      </c>
    </row>
    <row r="468" spans="1:8">
      <c r="A468" s="25" t="str">
        <f>IF('Clockify Raw'!J468="","",'Clockify Raw'!J468)</f>
        <v/>
      </c>
      <c r="B468" s="23" t="str">
        <f>IF('Clockify Raw'!K468="","",VALUE('Clockify Raw'!K468))</f>
        <v/>
      </c>
      <c r="C468" s="23" t="str">
        <f>IF('Clockify Raw'!M468="","",VALUE('Clockify Raw'!M468))</f>
        <v/>
      </c>
      <c r="D468" t="str">
        <f>IF('Clockify Raw'!A468="","",IF(LOWER('Clockify Raw'!A468)="break","Break","Work"))</f>
        <v/>
      </c>
      <c r="E468" t="str">
        <f>IF('Clockify Raw'!A468="","",IF(LOWER('Clockify Raw'!A468)="break","Break",IF('Clockify Raw'!C468&lt;&gt;"",'Clockify Raw'!C468,IF('Clockify Raw'!D468&lt;&gt;"",'Clockify Raw'!D468,'Clockify Raw'!A468))))</f>
        <v/>
      </c>
      <c r="F468" s="24" t="str">
        <f>IF('Clockify Raw'!O468="","",'Clockify Raw'!O468/24)</f>
        <v/>
      </c>
      <c r="G468" t="str">
        <f>IF(A468="","",COUNTIFS($A$2:$A$1000,A468,$B$2:$B$1000,"&lt;"&amp;B468)+COUNTIFS($A$2:A468,A468,$B$2:B468,B468))</f>
        <v/>
      </c>
      <c r="H468" t="str">
        <f t="shared" si="7"/>
        <v/>
      </c>
    </row>
    <row r="469" spans="1:8">
      <c r="A469" s="25" t="str">
        <f>IF('Clockify Raw'!J469="","",'Clockify Raw'!J469)</f>
        <v/>
      </c>
      <c r="B469" s="23" t="str">
        <f>IF('Clockify Raw'!K469="","",VALUE('Clockify Raw'!K469))</f>
        <v/>
      </c>
      <c r="C469" s="23" t="str">
        <f>IF('Clockify Raw'!M469="","",VALUE('Clockify Raw'!M469))</f>
        <v/>
      </c>
      <c r="D469" t="str">
        <f>IF('Clockify Raw'!A469="","",IF(LOWER('Clockify Raw'!A469)="break","Break","Work"))</f>
        <v/>
      </c>
      <c r="E469" t="str">
        <f>IF('Clockify Raw'!A469="","",IF(LOWER('Clockify Raw'!A469)="break","Break",IF('Clockify Raw'!C469&lt;&gt;"",'Clockify Raw'!C469,IF('Clockify Raw'!D469&lt;&gt;"",'Clockify Raw'!D469,'Clockify Raw'!A469))))</f>
        <v/>
      </c>
      <c r="F469" s="24" t="str">
        <f>IF('Clockify Raw'!O469="","",'Clockify Raw'!O469/24)</f>
        <v/>
      </c>
      <c r="G469" t="str">
        <f>IF(A469="","",COUNTIFS($A$2:$A$1000,A469,$B$2:$B$1000,"&lt;"&amp;B469)+COUNTIFS($A$2:A469,A469,$B$2:B469,B469))</f>
        <v/>
      </c>
      <c r="H469" t="str">
        <f t="shared" si="7"/>
        <v/>
      </c>
    </row>
    <row r="470" spans="1:8">
      <c r="A470" s="25" t="str">
        <f>IF('Clockify Raw'!J470="","",'Clockify Raw'!J470)</f>
        <v/>
      </c>
      <c r="B470" s="23" t="str">
        <f>IF('Clockify Raw'!K470="","",VALUE('Clockify Raw'!K470))</f>
        <v/>
      </c>
      <c r="C470" s="23" t="str">
        <f>IF('Clockify Raw'!M470="","",VALUE('Clockify Raw'!M470))</f>
        <v/>
      </c>
      <c r="D470" t="str">
        <f>IF('Clockify Raw'!A470="","",IF(LOWER('Clockify Raw'!A470)="break","Break","Work"))</f>
        <v/>
      </c>
      <c r="E470" t="str">
        <f>IF('Clockify Raw'!A470="","",IF(LOWER('Clockify Raw'!A470)="break","Break",IF('Clockify Raw'!C470&lt;&gt;"",'Clockify Raw'!C470,IF('Clockify Raw'!D470&lt;&gt;"",'Clockify Raw'!D470,'Clockify Raw'!A470))))</f>
        <v/>
      </c>
      <c r="F470" s="24" t="str">
        <f>IF('Clockify Raw'!O470="","",'Clockify Raw'!O470/24)</f>
        <v/>
      </c>
      <c r="G470" t="str">
        <f>IF(A470="","",COUNTIFS($A$2:$A$1000,A470,$B$2:$B$1000,"&lt;"&amp;B470)+COUNTIFS($A$2:A470,A470,$B$2:B470,B470))</f>
        <v/>
      </c>
      <c r="H470" t="str">
        <f t="shared" si="7"/>
        <v/>
      </c>
    </row>
    <row r="471" spans="1:8">
      <c r="A471" s="25" t="str">
        <f>IF('Clockify Raw'!J471="","",'Clockify Raw'!J471)</f>
        <v/>
      </c>
      <c r="B471" s="23" t="str">
        <f>IF('Clockify Raw'!K471="","",VALUE('Clockify Raw'!K471))</f>
        <v/>
      </c>
      <c r="C471" s="23" t="str">
        <f>IF('Clockify Raw'!M471="","",VALUE('Clockify Raw'!M471))</f>
        <v/>
      </c>
      <c r="D471" t="str">
        <f>IF('Clockify Raw'!A471="","",IF(LOWER('Clockify Raw'!A471)="break","Break","Work"))</f>
        <v/>
      </c>
      <c r="E471" t="str">
        <f>IF('Clockify Raw'!A471="","",IF(LOWER('Clockify Raw'!A471)="break","Break",IF('Clockify Raw'!C471&lt;&gt;"",'Clockify Raw'!C471,IF('Clockify Raw'!D471&lt;&gt;"",'Clockify Raw'!D471,'Clockify Raw'!A471))))</f>
        <v/>
      </c>
      <c r="F471" s="24" t="str">
        <f>IF('Clockify Raw'!O471="","",'Clockify Raw'!O471/24)</f>
        <v/>
      </c>
      <c r="G471" t="str">
        <f>IF(A471="","",COUNTIFS($A$2:$A$1000,A471,$B$2:$B$1000,"&lt;"&amp;B471)+COUNTIFS($A$2:A471,A471,$B$2:B471,B471))</f>
        <v/>
      </c>
      <c r="H471" t="str">
        <f t="shared" si="7"/>
        <v/>
      </c>
    </row>
    <row r="472" spans="1:8">
      <c r="A472" s="25" t="str">
        <f>IF('Clockify Raw'!J472="","",'Clockify Raw'!J472)</f>
        <v/>
      </c>
      <c r="B472" s="23" t="str">
        <f>IF('Clockify Raw'!K472="","",VALUE('Clockify Raw'!K472))</f>
        <v/>
      </c>
      <c r="C472" s="23" t="str">
        <f>IF('Clockify Raw'!M472="","",VALUE('Clockify Raw'!M472))</f>
        <v/>
      </c>
      <c r="D472" t="str">
        <f>IF('Clockify Raw'!A472="","",IF(LOWER('Clockify Raw'!A472)="break","Break","Work"))</f>
        <v/>
      </c>
      <c r="E472" t="str">
        <f>IF('Clockify Raw'!A472="","",IF(LOWER('Clockify Raw'!A472)="break","Break",IF('Clockify Raw'!C472&lt;&gt;"",'Clockify Raw'!C472,IF('Clockify Raw'!D472&lt;&gt;"",'Clockify Raw'!D472,'Clockify Raw'!A472))))</f>
        <v/>
      </c>
      <c r="F472" s="24" t="str">
        <f>IF('Clockify Raw'!O472="","",'Clockify Raw'!O472/24)</f>
        <v/>
      </c>
      <c r="G472" t="str">
        <f>IF(A472="","",COUNTIFS($A$2:$A$1000,A472,$B$2:$B$1000,"&lt;"&amp;B472)+COUNTIFS($A$2:A472,A472,$B$2:B472,B472))</f>
        <v/>
      </c>
      <c r="H472" t="str">
        <f t="shared" si="7"/>
        <v/>
      </c>
    </row>
    <row r="473" spans="1:8">
      <c r="A473" s="25" t="str">
        <f>IF('Clockify Raw'!J473="","",'Clockify Raw'!J473)</f>
        <v/>
      </c>
      <c r="B473" s="23" t="str">
        <f>IF('Clockify Raw'!K473="","",VALUE('Clockify Raw'!K473))</f>
        <v/>
      </c>
      <c r="C473" s="23" t="str">
        <f>IF('Clockify Raw'!M473="","",VALUE('Clockify Raw'!M473))</f>
        <v/>
      </c>
      <c r="D473" t="str">
        <f>IF('Clockify Raw'!A473="","",IF(LOWER('Clockify Raw'!A473)="break","Break","Work"))</f>
        <v/>
      </c>
      <c r="E473" t="str">
        <f>IF('Clockify Raw'!A473="","",IF(LOWER('Clockify Raw'!A473)="break","Break",IF('Clockify Raw'!C473&lt;&gt;"",'Clockify Raw'!C473,IF('Clockify Raw'!D473&lt;&gt;"",'Clockify Raw'!D473,'Clockify Raw'!A473))))</f>
        <v/>
      </c>
      <c r="F473" s="24" t="str">
        <f>IF('Clockify Raw'!O473="","",'Clockify Raw'!O473/24)</f>
        <v/>
      </c>
      <c r="G473" t="str">
        <f>IF(A473="","",COUNTIFS($A$2:$A$1000,A473,$B$2:$B$1000,"&lt;"&amp;B473)+COUNTIFS($A$2:A473,A473,$B$2:B473,B473))</f>
        <v/>
      </c>
      <c r="H473" t="str">
        <f t="shared" si="7"/>
        <v/>
      </c>
    </row>
    <row r="474" spans="1:8">
      <c r="A474" s="25" t="str">
        <f>IF('Clockify Raw'!J474="","",'Clockify Raw'!J474)</f>
        <v/>
      </c>
      <c r="B474" s="23" t="str">
        <f>IF('Clockify Raw'!K474="","",VALUE('Clockify Raw'!K474))</f>
        <v/>
      </c>
      <c r="C474" s="23" t="str">
        <f>IF('Clockify Raw'!M474="","",VALUE('Clockify Raw'!M474))</f>
        <v/>
      </c>
      <c r="D474" t="str">
        <f>IF('Clockify Raw'!A474="","",IF(LOWER('Clockify Raw'!A474)="break","Break","Work"))</f>
        <v/>
      </c>
      <c r="E474" t="str">
        <f>IF('Clockify Raw'!A474="","",IF(LOWER('Clockify Raw'!A474)="break","Break",IF('Clockify Raw'!C474&lt;&gt;"",'Clockify Raw'!C474,IF('Clockify Raw'!D474&lt;&gt;"",'Clockify Raw'!D474,'Clockify Raw'!A474))))</f>
        <v/>
      </c>
      <c r="F474" s="24" t="str">
        <f>IF('Clockify Raw'!O474="","",'Clockify Raw'!O474/24)</f>
        <v/>
      </c>
      <c r="G474" t="str">
        <f>IF(A474="","",COUNTIFS($A$2:$A$1000,A474,$B$2:$B$1000,"&lt;"&amp;B474)+COUNTIFS($A$2:A474,A474,$B$2:B474,B474))</f>
        <v/>
      </c>
      <c r="H474" t="str">
        <f t="shared" si="7"/>
        <v/>
      </c>
    </row>
    <row r="475" spans="1:8">
      <c r="A475" s="25" t="str">
        <f>IF('Clockify Raw'!J475="","",'Clockify Raw'!J475)</f>
        <v/>
      </c>
      <c r="B475" s="23" t="str">
        <f>IF('Clockify Raw'!K475="","",VALUE('Clockify Raw'!K475))</f>
        <v/>
      </c>
      <c r="C475" s="23" t="str">
        <f>IF('Clockify Raw'!M475="","",VALUE('Clockify Raw'!M475))</f>
        <v/>
      </c>
      <c r="D475" t="str">
        <f>IF('Clockify Raw'!A475="","",IF(LOWER('Clockify Raw'!A475)="break","Break","Work"))</f>
        <v/>
      </c>
      <c r="E475" t="str">
        <f>IF('Clockify Raw'!A475="","",IF(LOWER('Clockify Raw'!A475)="break","Break",IF('Clockify Raw'!C475&lt;&gt;"",'Clockify Raw'!C475,IF('Clockify Raw'!D475&lt;&gt;"",'Clockify Raw'!D475,'Clockify Raw'!A475))))</f>
        <v/>
      </c>
      <c r="F475" s="24" t="str">
        <f>IF('Clockify Raw'!O475="","",'Clockify Raw'!O475/24)</f>
        <v/>
      </c>
      <c r="G475" t="str">
        <f>IF(A475="","",COUNTIFS($A$2:$A$1000,A475,$B$2:$B$1000,"&lt;"&amp;B475)+COUNTIFS($A$2:A475,A475,$B$2:B475,B475))</f>
        <v/>
      </c>
      <c r="H475" t="str">
        <f t="shared" si="7"/>
        <v/>
      </c>
    </row>
    <row r="476" spans="1:8">
      <c r="A476" s="25" t="str">
        <f>IF('Clockify Raw'!J476="","",'Clockify Raw'!J476)</f>
        <v/>
      </c>
      <c r="B476" s="23" t="str">
        <f>IF('Clockify Raw'!K476="","",VALUE('Clockify Raw'!K476))</f>
        <v/>
      </c>
      <c r="C476" s="23" t="str">
        <f>IF('Clockify Raw'!M476="","",VALUE('Clockify Raw'!M476))</f>
        <v/>
      </c>
      <c r="D476" t="str">
        <f>IF('Clockify Raw'!A476="","",IF(LOWER('Clockify Raw'!A476)="break","Break","Work"))</f>
        <v/>
      </c>
      <c r="E476" t="str">
        <f>IF('Clockify Raw'!A476="","",IF(LOWER('Clockify Raw'!A476)="break","Break",IF('Clockify Raw'!C476&lt;&gt;"",'Clockify Raw'!C476,IF('Clockify Raw'!D476&lt;&gt;"",'Clockify Raw'!D476,'Clockify Raw'!A476))))</f>
        <v/>
      </c>
      <c r="F476" s="24" t="str">
        <f>IF('Clockify Raw'!O476="","",'Clockify Raw'!O476/24)</f>
        <v/>
      </c>
      <c r="G476" t="str">
        <f>IF(A476="","",COUNTIFS($A$2:$A$1000,A476,$B$2:$B$1000,"&lt;"&amp;B476)+COUNTIFS($A$2:A476,A476,$B$2:B476,B476))</f>
        <v/>
      </c>
      <c r="H476" t="str">
        <f t="shared" si="7"/>
        <v/>
      </c>
    </row>
    <row r="477" spans="1:8">
      <c r="A477" s="25" t="str">
        <f>IF('Clockify Raw'!J477="","",'Clockify Raw'!J477)</f>
        <v/>
      </c>
      <c r="B477" s="23" t="str">
        <f>IF('Clockify Raw'!K477="","",VALUE('Clockify Raw'!K477))</f>
        <v/>
      </c>
      <c r="C477" s="23" t="str">
        <f>IF('Clockify Raw'!M477="","",VALUE('Clockify Raw'!M477))</f>
        <v/>
      </c>
      <c r="D477" t="str">
        <f>IF('Clockify Raw'!A477="","",IF(LOWER('Clockify Raw'!A477)="break","Break","Work"))</f>
        <v/>
      </c>
      <c r="E477" t="str">
        <f>IF('Clockify Raw'!A477="","",IF(LOWER('Clockify Raw'!A477)="break","Break",IF('Clockify Raw'!C477&lt;&gt;"",'Clockify Raw'!C477,IF('Clockify Raw'!D477&lt;&gt;"",'Clockify Raw'!D477,'Clockify Raw'!A477))))</f>
        <v/>
      </c>
      <c r="F477" s="24" t="str">
        <f>IF('Clockify Raw'!O477="","",'Clockify Raw'!O477/24)</f>
        <v/>
      </c>
      <c r="G477" t="str">
        <f>IF(A477="","",COUNTIFS($A$2:$A$1000,A477,$B$2:$B$1000,"&lt;"&amp;B477)+COUNTIFS($A$2:A477,A477,$B$2:B477,B477))</f>
        <v/>
      </c>
      <c r="H477" t="str">
        <f t="shared" si="7"/>
        <v/>
      </c>
    </row>
    <row r="478" spans="1:8">
      <c r="A478" s="25" t="str">
        <f>IF('Clockify Raw'!J478="","",'Clockify Raw'!J478)</f>
        <v/>
      </c>
      <c r="B478" s="23" t="str">
        <f>IF('Clockify Raw'!K478="","",VALUE('Clockify Raw'!K478))</f>
        <v/>
      </c>
      <c r="C478" s="23" t="str">
        <f>IF('Clockify Raw'!M478="","",VALUE('Clockify Raw'!M478))</f>
        <v/>
      </c>
      <c r="D478" t="str">
        <f>IF('Clockify Raw'!A478="","",IF(LOWER('Clockify Raw'!A478)="break","Break","Work"))</f>
        <v/>
      </c>
      <c r="E478" t="str">
        <f>IF('Clockify Raw'!A478="","",IF(LOWER('Clockify Raw'!A478)="break","Break",IF('Clockify Raw'!C478&lt;&gt;"",'Clockify Raw'!C478,IF('Clockify Raw'!D478&lt;&gt;"",'Clockify Raw'!D478,'Clockify Raw'!A478))))</f>
        <v/>
      </c>
      <c r="F478" s="24" t="str">
        <f>IF('Clockify Raw'!O478="","",'Clockify Raw'!O478/24)</f>
        <v/>
      </c>
      <c r="G478" t="str">
        <f>IF(A478="","",COUNTIFS($A$2:$A$1000,A478,$B$2:$B$1000,"&lt;"&amp;B478)+COUNTIFS($A$2:A478,A478,$B$2:B478,B478))</f>
        <v/>
      </c>
      <c r="H478" t="str">
        <f t="shared" si="7"/>
        <v/>
      </c>
    </row>
    <row r="479" spans="1:8">
      <c r="A479" s="25" t="str">
        <f>IF('Clockify Raw'!J479="","",'Clockify Raw'!J479)</f>
        <v/>
      </c>
      <c r="B479" s="23" t="str">
        <f>IF('Clockify Raw'!K479="","",VALUE('Clockify Raw'!K479))</f>
        <v/>
      </c>
      <c r="C479" s="23" t="str">
        <f>IF('Clockify Raw'!M479="","",VALUE('Clockify Raw'!M479))</f>
        <v/>
      </c>
      <c r="D479" t="str">
        <f>IF('Clockify Raw'!A479="","",IF(LOWER('Clockify Raw'!A479)="break","Break","Work"))</f>
        <v/>
      </c>
      <c r="E479" t="str">
        <f>IF('Clockify Raw'!A479="","",IF(LOWER('Clockify Raw'!A479)="break","Break",IF('Clockify Raw'!C479&lt;&gt;"",'Clockify Raw'!C479,IF('Clockify Raw'!D479&lt;&gt;"",'Clockify Raw'!D479,'Clockify Raw'!A479))))</f>
        <v/>
      </c>
      <c r="F479" s="24" t="str">
        <f>IF('Clockify Raw'!O479="","",'Clockify Raw'!O479/24)</f>
        <v/>
      </c>
      <c r="G479" t="str">
        <f>IF(A479="","",COUNTIFS($A$2:$A$1000,A479,$B$2:$B$1000,"&lt;"&amp;B479)+COUNTIFS($A$2:A479,A479,$B$2:B479,B479))</f>
        <v/>
      </c>
      <c r="H479" t="str">
        <f t="shared" si="7"/>
        <v/>
      </c>
    </row>
    <row r="480" spans="1:8">
      <c r="A480" s="25" t="str">
        <f>IF('Clockify Raw'!J480="","",'Clockify Raw'!J480)</f>
        <v/>
      </c>
      <c r="B480" s="23" t="str">
        <f>IF('Clockify Raw'!K480="","",VALUE('Clockify Raw'!K480))</f>
        <v/>
      </c>
      <c r="C480" s="23" t="str">
        <f>IF('Clockify Raw'!M480="","",VALUE('Clockify Raw'!M480))</f>
        <v/>
      </c>
      <c r="D480" t="str">
        <f>IF('Clockify Raw'!A480="","",IF(LOWER('Clockify Raw'!A480)="break","Break","Work"))</f>
        <v/>
      </c>
      <c r="E480" t="str">
        <f>IF('Clockify Raw'!A480="","",IF(LOWER('Clockify Raw'!A480)="break","Break",IF('Clockify Raw'!C480&lt;&gt;"",'Clockify Raw'!C480,IF('Clockify Raw'!D480&lt;&gt;"",'Clockify Raw'!D480,'Clockify Raw'!A480))))</f>
        <v/>
      </c>
      <c r="F480" s="24" t="str">
        <f>IF('Clockify Raw'!O480="","",'Clockify Raw'!O480/24)</f>
        <v/>
      </c>
      <c r="G480" t="str">
        <f>IF(A480="","",COUNTIFS($A$2:$A$1000,A480,$B$2:$B$1000,"&lt;"&amp;B480)+COUNTIFS($A$2:A480,A480,$B$2:B480,B480))</f>
        <v/>
      </c>
      <c r="H480" t="str">
        <f t="shared" si="7"/>
        <v/>
      </c>
    </row>
    <row r="481" spans="1:8">
      <c r="A481" s="25" t="str">
        <f>IF('Clockify Raw'!J481="","",'Clockify Raw'!J481)</f>
        <v/>
      </c>
      <c r="B481" s="23" t="str">
        <f>IF('Clockify Raw'!K481="","",VALUE('Clockify Raw'!K481))</f>
        <v/>
      </c>
      <c r="C481" s="23" t="str">
        <f>IF('Clockify Raw'!M481="","",VALUE('Clockify Raw'!M481))</f>
        <v/>
      </c>
      <c r="D481" t="str">
        <f>IF('Clockify Raw'!A481="","",IF(LOWER('Clockify Raw'!A481)="break","Break","Work"))</f>
        <v/>
      </c>
      <c r="E481" t="str">
        <f>IF('Clockify Raw'!A481="","",IF(LOWER('Clockify Raw'!A481)="break","Break",IF('Clockify Raw'!C481&lt;&gt;"",'Clockify Raw'!C481,IF('Clockify Raw'!D481&lt;&gt;"",'Clockify Raw'!D481,'Clockify Raw'!A481))))</f>
        <v/>
      </c>
      <c r="F481" s="24" t="str">
        <f>IF('Clockify Raw'!O481="","",'Clockify Raw'!O481/24)</f>
        <v/>
      </c>
      <c r="G481" t="str">
        <f>IF(A481="","",COUNTIFS($A$2:$A$1000,A481,$B$2:$B$1000,"&lt;"&amp;B481)+COUNTIFS($A$2:A481,A481,$B$2:B481,B481))</f>
        <v/>
      </c>
      <c r="H481" t="str">
        <f t="shared" si="7"/>
        <v/>
      </c>
    </row>
    <row r="482" spans="1:8">
      <c r="A482" s="25" t="str">
        <f>IF('Clockify Raw'!J482="","",'Clockify Raw'!J482)</f>
        <v/>
      </c>
      <c r="B482" s="23" t="str">
        <f>IF('Clockify Raw'!K482="","",VALUE('Clockify Raw'!K482))</f>
        <v/>
      </c>
      <c r="C482" s="23" t="str">
        <f>IF('Clockify Raw'!M482="","",VALUE('Clockify Raw'!M482))</f>
        <v/>
      </c>
      <c r="D482" t="str">
        <f>IF('Clockify Raw'!A482="","",IF(LOWER('Clockify Raw'!A482)="break","Break","Work"))</f>
        <v/>
      </c>
      <c r="E482" t="str">
        <f>IF('Clockify Raw'!A482="","",IF(LOWER('Clockify Raw'!A482)="break","Break",IF('Clockify Raw'!C482&lt;&gt;"",'Clockify Raw'!C482,IF('Clockify Raw'!D482&lt;&gt;"",'Clockify Raw'!D482,'Clockify Raw'!A482))))</f>
        <v/>
      </c>
      <c r="F482" s="24" t="str">
        <f>IF('Clockify Raw'!O482="","",'Clockify Raw'!O482/24)</f>
        <v/>
      </c>
      <c r="G482" t="str">
        <f>IF(A482="","",COUNTIFS($A$2:$A$1000,A482,$B$2:$B$1000,"&lt;"&amp;B482)+COUNTIFS($A$2:A482,A482,$B$2:B482,B482))</f>
        <v/>
      </c>
      <c r="H482" t="str">
        <f t="shared" si="7"/>
        <v/>
      </c>
    </row>
    <row r="483" spans="1:8">
      <c r="A483" s="25" t="str">
        <f>IF('Clockify Raw'!J483="","",'Clockify Raw'!J483)</f>
        <v/>
      </c>
      <c r="B483" s="23" t="str">
        <f>IF('Clockify Raw'!K483="","",VALUE('Clockify Raw'!K483))</f>
        <v/>
      </c>
      <c r="C483" s="23" t="str">
        <f>IF('Clockify Raw'!M483="","",VALUE('Clockify Raw'!M483))</f>
        <v/>
      </c>
      <c r="D483" t="str">
        <f>IF('Clockify Raw'!A483="","",IF(LOWER('Clockify Raw'!A483)="break","Break","Work"))</f>
        <v/>
      </c>
      <c r="E483" t="str">
        <f>IF('Clockify Raw'!A483="","",IF(LOWER('Clockify Raw'!A483)="break","Break",IF('Clockify Raw'!C483&lt;&gt;"",'Clockify Raw'!C483,IF('Clockify Raw'!D483&lt;&gt;"",'Clockify Raw'!D483,'Clockify Raw'!A483))))</f>
        <v/>
      </c>
      <c r="F483" s="24" t="str">
        <f>IF('Clockify Raw'!O483="","",'Clockify Raw'!O483/24)</f>
        <v/>
      </c>
      <c r="G483" t="str">
        <f>IF(A483="","",COUNTIFS($A$2:$A$1000,A483,$B$2:$B$1000,"&lt;"&amp;B483)+COUNTIFS($A$2:A483,A483,$B$2:B483,B483))</f>
        <v/>
      </c>
      <c r="H483" t="str">
        <f t="shared" si="7"/>
        <v/>
      </c>
    </row>
    <row r="484" spans="1:8">
      <c r="A484" s="25" t="str">
        <f>IF('Clockify Raw'!J484="","",'Clockify Raw'!J484)</f>
        <v/>
      </c>
      <c r="B484" s="23" t="str">
        <f>IF('Clockify Raw'!K484="","",VALUE('Clockify Raw'!K484))</f>
        <v/>
      </c>
      <c r="C484" s="23" t="str">
        <f>IF('Clockify Raw'!M484="","",VALUE('Clockify Raw'!M484))</f>
        <v/>
      </c>
      <c r="D484" t="str">
        <f>IF('Clockify Raw'!A484="","",IF(LOWER('Clockify Raw'!A484)="break","Break","Work"))</f>
        <v/>
      </c>
      <c r="E484" t="str">
        <f>IF('Clockify Raw'!A484="","",IF(LOWER('Clockify Raw'!A484)="break","Break",IF('Clockify Raw'!C484&lt;&gt;"",'Clockify Raw'!C484,IF('Clockify Raw'!D484&lt;&gt;"",'Clockify Raw'!D484,'Clockify Raw'!A484))))</f>
        <v/>
      </c>
      <c r="F484" s="24" t="str">
        <f>IF('Clockify Raw'!O484="","",'Clockify Raw'!O484/24)</f>
        <v/>
      </c>
      <c r="G484" t="str">
        <f>IF(A484="","",COUNTIFS($A$2:$A$1000,A484,$B$2:$B$1000,"&lt;"&amp;B484)+COUNTIFS($A$2:A484,A484,$B$2:B484,B484))</f>
        <v/>
      </c>
      <c r="H484" t="str">
        <f t="shared" si="7"/>
        <v/>
      </c>
    </row>
    <row r="485" spans="1:8">
      <c r="A485" s="25" t="str">
        <f>IF('Clockify Raw'!J485="","",'Clockify Raw'!J485)</f>
        <v/>
      </c>
      <c r="B485" s="23" t="str">
        <f>IF('Clockify Raw'!K485="","",VALUE('Clockify Raw'!K485))</f>
        <v/>
      </c>
      <c r="C485" s="23" t="str">
        <f>IF('Clockify Raw'!M485="","",VALUE('Clockify Raw'!M485))</f>
        <v/>
      </c>
      <c r="D485" t="str">
        <f>IF('Clockify Raw'!A485="","",IF(LOWER('Clockify Raw'!A485)="break","Break","Work"))</f>
        <v/>
      </c>
      <c r="E485" t="str">
        <f>IF('Clockify Raw'!A485="","",IF(LOWER('Clockify Raw'!A485)="break","Break",IF('Clockify Raw'!C485&lt;&gt;"",'Clockify Raw'!C485,IF('Clockify Raw'!D485&lt;&gt;"",'Clockify Raw'!D485,'Clockify Raw'!A485))))</f>
        <v/>
      </c>
      <c r="F485" s="24" t="str">
        <f>IF('Clockify Raw'!O485="","",'Clockify Raw'!O485/24)</f>
        <v/>
      </c>
      <c r="G485" t="str">
        <f>IF(A485="","",COUNTIFS($A$2:$A$1000,A485,$B$2:$B$1000,"&lt;"&amp;B485)+COUNTIFS($A$2:A485,A485,$B$2:B485,B485))</f>
        <v/>
      </c>
      <c r="H485" t="str">
        <f t="shared" si="7"/>
        <v/>
      </c>
    </row>
    <row r="486" spans="1:8">
      <c r="A486" s="25" t="str">
        <f>IF('Clockify Raw'!J486="","",'Clockify Raw'!J486)</f>
        <v/>
      </c>
      <c r="B486" s="23" t="str">
        <f>IF('Clockify Raw'!K486="","",VALUE('Clockify Raw'!K486))</f>
        <v/>
      </c>
      <c r="C486" s="23" t="str">
        <f>IF('Clockify Raw'!M486="","",VALUE('Clockify Raw'!M486))</f>
        <v/>
      </c>
      <c r="D486" t="str">
        <f>IF('Clockify Raw'!A486="","",IF(LOWER('Clockify Raw'!A486)="break","Break","Work"))</f>
        <v/>
      </c>
      <c r="E486" t="str">
        <f>IF('Clockify Raw'!A486="","",IF(LOWER('Clockify Raw'!A486)="break","Break",IF('Clockify Raw'!C486&lt;&gt;"",'Clockify Raw'!C486,IF('Clockify Raw'!D486&lt;&gt;"",'Clockify Raw'!D486,'Clockify Raw'!A486))))</f>
        <v/>
      </c>
      <c r="F486" s="24" t="str">
        <f>IF('Clockify Raw'!O486="","",'Clockify Raw'!O486/24)</f>
        <v/>
      </c>
      <c r="G486" t="str">
        <f>IF(A486="","",COUNTIFS($A$2:$A$1000,A486,$B$2:$B$1000,"&lt;"&amp;B486)+COUNTIFS($A$2:A486,A486,$B$2:B486,B486))</f>
        <v/>
      </c>
      <c r="H486" t="str">
        <f t="shared" si="7"/>
        <v/>
      </c>
    </row>
    <row r="487" spans="1:8">
      <c r="A487" s="25" t="str">
        <f>IF('Clockify Raw'!J487="","",'Clockify Raw'!J487)</f>
        <v/>
      </c>
      <c r="B487" s="23" t="str">
        <f>IF('Clockify Raw'!K487="","",VALUE('Clockify Raw'!K487))</f>
        <v/>
      </c>
      <c r="C487" s="23" t="str">
        <f>IF('Clockify Raw'!M487="","",VALUE('Clockify Raw'!M487))</f>
        <v/>
      </c>
      <c r="D487" t="str">
        <f>IF('Clockify Raw'!A487="","",IF(LOWER('Clockify Raw'!A487)="break","Break","Work"))</f>
        <v/>
      </c>
      <c r="E487" t="str">
        <f>IF('Clockify Raw'!A487="","",IF(LOWER('Clockify Raw'!A487)="break","Break",IF('Clockify Raw'!C487&lt;&gt;"",'Clockify Raw'!C487,IF('Clockify Raw'!D487&lt;&gt;"",'Clockify Raw'!D487,'Clockify Raw'!A487))))</f>
        <v/>
      </c>
      <c r="F487" s="24" t="str">
        <f>IF('Clockify Raw'!O487="","",'Clockify Raw'!O487/24)</f>
        <v/>
      </c>
      <c r="G487" t="str">
        <f>IF(A487="","",COUNTIFS($A$2:$A$1000,A487,$B$2:$B$1000,"&lt;"&amp;B487)+COUNTIFS($A$2:A487,A487,$B$2:B487,B487))</f>
        <v/>
      </c>
      <c r="H487" t="str">
        <f t="shared" si="7"/>
        <v/>
      </c>
    </row>
    <row r="488" spans="1:8">
      <c r="A488" s="25" t="str">
        <f>IF('Clockify Raw'!J488="","",'Clockify Raw'!J488)</f>
        <v/>
      </c>
      <c r="B488" s="23" t="str">
        <f>IF('Clockify Raw'!K488="","",VALUE('Clockify Raw'!K488))</f>
        <v/>
      </c>
      <c r="C488" s="23" t="str">
        <f>IF('Clockify Raw'!M488="","",VALUE('Clockify Raw'!M488))</f>
        <v/>
      </c>
      <c r="D488" t="str">
        <f>IF('Clockify Raw'!A488="","",IF(LOWER('Clockify Raw'!A488)="break","Break","Work"))</f>
        <v/>
      </c>
      <c r="E488" t="str">
        <f>IF('Clockify Raw'!A488="","",IF(LOWER('Clockify Raw'!A488)="break","Break",IF('Clockify Raw'!C488&lt;&gt;"",'Clockify Raw'!C488,IF('Clockify Raw'!D488&lt;&gt;"",'Clockify Raw'!D488,'Clockify Raw'!A488))))</f>
        <v/>
      </c>
      <c r="F488" s="24" t="str">
        <f>IF('Clockify Raw'!O488="","",'Clockify Raw'!O488/24)</f>
        <v/>
      </c>
      <c r="G488" t="str">
        <f>IF(A488="","",COUNTIFS($A$2:$A$1000,A488,$B$2:$B$1000,"&lt;"&amp;B488)+COUNTIFS($A$2:A488,A488,$B$2:B488,B488))</f>
        <v/>
      </c>
      <c r="H488" t="str">
        <f t="shared" si="7"/>
        <v/>
      </c>
    </row>
    <row r="489" spans="1:8">
      <c r="A489" s="25" t="str">
        <f>IF('Clockify Raw'!J489="","",'Clockify Raw'!J489)</f>
        <v/>
      </c>
      <c r="B489" s="23" t="str">
        <f>IF('Clockify Raw'!K489="","",VALUE('Clockify Raw'!K489))</f>
        <v/>
      </c>
      <c r="C489" s="23" t="str">
        <f>IF('Clockify Raw'!M489="","",VALUE('Clockify Raw'!M489))</f>
        <v/>
      </c>
      <c r="D489" t="str">
        <f>IF('Clockify Raw'!A489="","",IF(LOWER('Clockify Raw'!A489)="break","Break","Work"))</f>
        <v/>
      </c>
      <c r="E489" t="str">
        <f>IF('Clockify Raw'!A489="","",IF(LOWER('Clockify Raw'!A489)="break","Break",IF('Clockify Raw'!C489&lt;&gt;"",'Clockify Raw'!C489,IF('Clockify Raw'!D489&lt;&gt;"",'Clockify Raw'!D489,'Clockify Raw'!A489))))</f>
        <v/>
      </c>
      <c r="F489" s="24" t="str">
        <f>IF('Clockify Raw'!O489="","",'Clockify Raw'!O489/24)</f>
        <v/>
      </c>
      <c r="G489" t="str">
        <f>IF(A489="","",COUNTIFS($A$2:$A$1000,A489,$B$2:$B$1000,"&lt;"&amp;B489)+COUNTIFS($A$2:A489,A489,$B$2:B489,B489))</f>
        <v/>
      </c>
      <c r="H489" t="str">
        <f t="shared" si="7"/>
        <v/>
      </c>
    </row>
    <row r="490" spans="1:8">
      <c r="A490" s="25" t="str">
        <f>IF('Clockify Raw'!J490="","",'Clockify Raw'!J490)</f>
        <v/>
      </c>
      <c r="B490" s="23" t="str">
        <f>IF('Clockify Raw'!K490="","",VALUE('Clockify Raw'!K490))</f>
        <v/>
      </c>
      <c r="C490" s="23" t="str">
        <f>IF('Clockify Raw'!M490="","",VALUE('Clockify Raw'!M490))</f>
        <v/>
      </c>
      <c r="D490" t="str">
        <f>IF('Clockify Raw'!A490="","",IF(LOWER('Clockify Raw'!A490)="break","Break","Work"))</f>
        <v/>
      </c>
      <c r="E490" t="str">
        <f>IF('Clockify Raw'!A490="","",IF(LOWER('Clockify Raw'!A490)="break","Break",IF('Clockify Raw'!C490&lt;&gt;"",'Clockify Raw'!C490,IF('Clockify Raw'!D490&lt;&gt;"",'Clockify Raw'!D490,'Clockify Raw'!A490))))</f>
        <v/>
      </c>
      <c r="F490" s="24" t="str">
        <f>IF('Clockify Raw'!O490="","",'Clockify Raw'!O490/24)</f>
        <v/>
      </c>
      <c r="G490" t="str">
        <f>IF(A490="","",COUNTIFS($A$2:$A$1000,A490,$B$2:$B$1000,"&lt;"&amp;B490)+COUNTIFS($A$2:A490,A490,$B$2:B490,B490))</f>
        <v/>
      </c>
      <c r="H490" t="str">
        <f t="shared" si="7"/>
        <v/>
      </c>
    </row>
    <row r="491" spans="1:8">
      <c r="A491" s="25" t="str">
        <f>IF('Clockify Raw'!J491="","",'Clockify Raw'!J491)</f>
        <v/>
      </c>
      <c r="B491" s="23" t="str">
        <f>IF('Clockify Raw'!K491="","",VALUE('Clockify Raw'!K491))</f>
        <v/>
      </c>
      <c r="C491" s="23" t="str">
        <f>IF('Clockify Raw'!M491="","",VALUE('Clockify Raw'!M491))</f>
        <v/>
      </c>
      <c r="D491" t="str">
        <f>IF('Clockify Raw'!A491="","",IF(LOWER('Clockify Raw'!A491)="break","Break","Work"))</f>
        <v/>
      </c>
      <c r="E491" t="str">
        <f>IF('Clockify Raw'!A491="","",IF(LOWER('Clockify Raw'!A491)="break","Break",IF('Clockify Raw'!C491&lt;&gt;"",'Clockify Raw'!C491,IF('Clockify Raw'!D491&lt;&gt;"",'Clockify Raw'!D491,'Clockify Raw'!A491))))</f>
        <v/>
      </c>
      <c r="F491" s="24" t="str">
        <f>IF('Clockify Raw'!O491="","",'Clockify Raw'!O491/24)</f>
        <v/>
      </c>
      <c r="G491" t="str">
        <f>IF(A491="","",COUNTIFS($A$2:$A$1000,A491,$B$2:$B$1000,"&lt;"&amp;B491)+COUNTIFS($A$2:A491,A491,$B$2:B491,B491))</f>
        <v/>
      </c>
      <c r="H491" t="str">
        <f t="shared" si="7"/>
        <v/>
      </c>
    </row>
    <row r="492" spans="1:8">
      <c r="A492" s="25" t="str">
        <f>IF('Clockify Raw'!J492="","",'Clockify Raw'!J492)</f>
        <v/>
      </c>
      <c r="B492" s="23" t="str">
        <f>IF('Clockify Raw'!K492="","",VALUE('Clockify Raw'!K492))</f>
        <v/>
      </c>
      <c r="C492" s="23" t="str">
        <f>IF('Clockify Raw'!M492="","",VALUE('Clockify Raw'!M492))</f>
        <v/>
      </c>
      <c r="D492" t="str">
        <f>IF('Clockify Raw'!A492="","",IF(LOWER('Clockify Raw'!A492)="break","Break","Work"))</f>
        <v/>
      </c>
      <c r="E492" t="str">
        <f>IF('Clockify Raw'!A492="","",IF(LOWER('Clockify Raw'!A492)="break","Break",IF('Clockify Raw'!C492&lt;&gt;"",'Clockify Raw'!C492,IF('Clockify Raw'!D492&lt;&gt;"",'Clockify Raw'!D492,'Clockify Raw'!A492))))</f>
        <v/>
      </c>
      <c r="F492" s="24" t="str">
        <f>IF('Clockify Raw'!O492="","",'Clockify Raw'!O492/24)</f>
        <v/>
      </c>
      <c r="G492" t="str">
        <f>IF(A492="","",COUNTIFS($A$2:$A$1000,A492,$B$2:$B$1000,"&lt;"&amp;B492)+COUNTIFS($A$2:A492,A492,$B$2:B492,B492))</f>
        <v/>
      </c>
      <c r="H492" t="str">
        <f t="shared" si="7"/>
        <v/>
      </c>
    </row>
    <row r="493" spans="1:8">
      <c r="A493" s="25" t="str">
        <f>IF('Clockify Raw'!J493="","",'Clockify Raw'!J493)</f>
        <v/>
      </c>
      <c r="B493" s="23" t="str">
        <f>IF('Clockify Raw'!K493="","",VALUE('Clockify Raw'!K493))</f>
        <v/>
      </c>
      <c r="C493" s="23" t="str">
        <f>IF('Clockify Raw'!M493="","",VALUE('Clockify Raw'!M493))</f>
        <v/>
      </c>
      <c r="D493" t="str">
        <f>IF('Clockify Raw'!A493="","",IF(LOWER('Clockify Raw'!A493)="break","Break","Work"))</f>
        <v/>
      </c>
      <c r="E493" t="str">
        <f>IF('Clockify Raw'!A493="","",IF(LOWER('Clockify Raw'!A493)="break","Break",IF('Clockify Raw'!C493&lt;&gt;"",'Clockify Raw'!C493,IF('Clockify Raw'!D493&lt;&gt;"",'Clockify Raw'!D493,'Clockify Raw'!A493))))</f>
        <v/>
      </c>
      <c r="F493" s="24" t="str">
        <f>IF('Clockify Raw'!O493="","",'Clockify Raw'!O493/24)</f>
        <v/>
      </c>
      <c r="G493" t="str">
        <f>IF(A493="","",COUNTIFS($A$2:$A$1000,A493,$B$2:$B$1000,"&lt;"&amp;B493)+COUNTIFS($A$2:A493,A493,$B$2:B493,B493))</f>
        <v/>
      </c>
      <c r="H493" t="str">
        <f t="shared" si="7"/>
        <v/>
      </c>
    </row>
    <row r="494" spans="1:8">
      <c r="A494" s="25" t="str">
        <f>IF('Clockify Raw'!J494="","",'Clockify Raw'!J494)</f>
        <v/>
      </c>
      <c r="B494" s="23" t="str">
        <f>IF('Clockify Raw'!K494="","",VALUE('Clockify Raw'!K494))</f>
        <v/>
      </c>
      <c r="C494" s="23" t="str">
        <f>IF('Clockify Raw'!M494="","",VALUE('Clockify Raw'!M494))</f>
        <v/>
      </c>
      <c r="D494" t="str">
        <f>IF('Clockify Raw'!A494="","",IF(LOWER('Clockify Raw'!A494)="break","Break","Work"))</f>
        <v/>
      </c>
      <c r="E494" t="str">
        <f>IF('Clockify Raw'!A494="","",IF(LOWER('Clockify Raw'!A494)="break","Break",IF('Clockify Raw'!C494&lt;&gt;"",'Clockify Raw'!C494,IF('Clockify Raw'!D494&lt;&gt;"",'Clockify Raw'!D494,'Clockify Raw'!A494))))</f>
        <v/>
      </c>
      <c r="F494" s="24" t="str">
        <f>IF('Clockify Raw'!O494="","",'Clockify Raw'!O494/24)</f>
        <v/>
      </c>
      <c r="G494" t="str">
        <f>IF(A494="","",COUNTIFS($A$2:$A$1000,A494,$B$2:$B$1000,"&lt;"&amp;B494)+COUNTIFS($A$2:A494,A494,$B$2:B494,B494))</f>
        <v/>
      </c>
      <c r="H494" t="str">
        <f t="shared" si="7"/>
        <v/>
      </c>
    </row>
    <row r="495" spans="1:8">
      <c r="A495" s="25" t="str">
        <f>IF('Clockify Raw'!J495="","",'Clockify Raw'!J495)</f>
        <v/>
      </c>
      <c r="B495" s="23" t="str">
        <f>IF('Clockify Raw'!K495="","",VALUE('Clockify Raw'!K495))</f>
        <v/>
      </c>
      <c r="C495" s="23" t="str">
        <f>IF('Clockify Raw'!M495="","",VALUE('Clockify Raw'!M495))</f>
        <v/>
      </c>
      <c r="D495" t="str">
        <f>IF('Clockify Raw'!A495="","",IF(LOWER('Clockify Raw'!A495)="break","Break","Work"))</f>
        <v/>
      </c>
      <c r="E495" t="str">
        <f>IF('Clockify Raw'!A495="","",IF(LOWER('Clockify Raw'!A495)="break","Break",IF('Clockify Raw'!C495&lt;&gt;"",'Clockify Raw'!C495,IF('Clockify Raw'!D495&lt;&gt;"",'Clockify Raw'!D495,'Clockify Raw'!A495))))</f>
        <v/>
      </c>
      <c r="F495" s="24" t="str">
        <f>IF('Clockify Raw'!O495="","",'Clockify Raw'!O495/24)</f>
        <v/>
      </c>
      <c r="G495" t="str">
        <f>IF(A495="","",COUNTIFS($A$2:$A$1000,A495,$B$2:$B$1000,"&lt;"&amp;B495)+COUNTIFS($A$2:A495,A495,$B$2:B495,B495))</f>
        <v/>
      </c>
      <c r="H495" t="str">
        <f t="shared" si="7"/>
        <v/>
      </c>
    </row>
    <row r="496" spans="1:8">
      <c r="A496" s="25" t="str">
        <f>IF('Clockify Raw'!J496="","",'Clockify Raw'!J496)</f>
        <v/>
      </c>
      <c r="B496" s="23" t="str">
        <f>IF('Clockify Raw'!K496="","",VALUE('Clockify Raw'!K496))</f>
        <v/>
      </c>
      <c r="C496" s="23" t="str">
        <f>IF('Clockify Raw'!M496="","",VALUE('Clockify Raw'!M496))</f>
        <v/>
      </c>
      <c r="D496" t="str">
        <f>IF('Clockify Raw'!A496="","",IF(LOWER('Clockify Raw'!A496)="break","Break","Work"))</f>
        <v/>
      </c>
      <c r="E496" t="str">
        <f>IF('Clockify Raw'!A496="","",IF(LOWER('Clockify Raw'!A496)="break","Break",IF('Clockify Raw'!C496&lt;&gt;"",'Clockify Raw'!C496,IF('Clockify Raw'!D496&lt;&gt;"",'Clockify Raw'!D496,'Clockify Raw'!A496))))</f>
        <v/>
      </c>
      <c r="F496" s="24" t="str">
        <f>IF('Clockify Raw'!O496="","",'Clockify Raw'!O496/24)</f>
        <v/>
      </c>
      <c r="G496" t="str">
        <f>IF(A496="","",COUNTIFS($A$2:$A$1000,A496,$B$2:$B$1000,"&lt;"&amp;B496)+COUNTIFS($A$2:A496,A496,$B$2:B496,B496))</f>
        <v/>
      </c>
      <c r="H496" t="str">
        <f t="shared" si="7"/>
        <v/>
      </c>
    </row>
    <row r="497" spans="1:8">
      <c r="A497" s="25" t="str">
        <f>IF('Clockify Raw'!J497="","",'Clockify Raw'!J497)</f>
        <v/>
      </c>
      <c r="B497" s="23" t="str">
        <f>IF('Clockify Raw'!K497="","",VALUE('Clockify Raw'!K497))</f>
        <v/>
      </c>
      <c r="C497" s="23" t="str">
        <f>IF('Clockify Raw'!M497="","",VALUE('Clockify Raw'!M497))</f>
        <v/>
      </c>
      <c r="D497" t="str">
        <f>IF('Clockify Raw'!A497="","",IF(LOWER('Clockify Raw'!A497)="break","Break","Work"))</f>
        <v/>
      </c>
      <c r="E497" t="str">
        <f>IF('Clockify Raw'!A497="","",IF(LOWER('Clockify Raw'!A497)="break","Break",IF('Clockify Raw'!C497&lt;&gt;"",'Clockify Raw'!C497,IF('Clockify Raw'!D497&lt;&gt;"",'Clockify Raw'!D497,'Clockify Raw'!A497))))</f>
        <v/>
      </c>
      <c r="F497" s="24" t="str">
        <f>IF('Clockify Raw'!O497="","",'Clockify Raw'!O497/24)</f>
        <v/>
      </c>
      <c r="G497" t="str">
        <f>IF(A497="","",COUNTIFS($A$2:$A$1000,A497,$B$2:$B$1000,"&lt;"&amp;B497)+COUNTIFS($A$2:A497,A497,$B$2:B497,B497))</f>
        <v/>
      </c>
      <c r="H497" t="str">
        <f t="shared" si="7"/>
        <v/>
      </c>
    </row>
    <row r="498" spans="1:8">
      <c r="A498" s="25" t="str">
        <f>IF('Clockify Raw'!J498="","",'Clockify Raw'!J498)</f>
        <v/>
      </c>
      <c r="B498" s="23" t="str">
        <f>IF('Clockify Raw'!K498="","",VALUE('Clockify Raw'!K498))</f>
        <v/>
      </c>
      <c r="C498" s="23" t="str">
        <f>IF('Clockify Raw'!M498="","",VALUE('Clockify Raw'!M498))</f>
        <v/>
      </c>
      <c r="D498" t="str">
        <f>IF('Clockify Raw'!A498="","",IF(LOWER('Clockify Raw'!A498)="break","Break","Work"))</f>
        <v/>
      </c>
      <c r="E498" t="str">
        <f>IF('Clockify Raw'!A498="","",IF(LOWER('Clockify Raw'!A498)="break","Break",IF('Clockify Raw'!C498&lt;&gt;"",'Clockify Raw'!C498,IF('Clockify Raw'!D498&lt;&gt;"",'Clockify Raw'!D498,'Clockify Raw'!A498))))</f>
        <v/>
      </c>
      <c r="F498" s="24" t="str">
        <f>IF('Clockify Raw'!O498="","",'Clockify Raw'!O498/24)</f>
        <v/>
      </c>
      <c r="G498" t="str">
        <f>IF(A498="","",COUNTIFS($A$2:$A$1000,A498,$B$2:$B$1000,"&lt;"&amp;B498)+COUNTIFS($A$2:A498,A498,$B$2:B498,B498))</f>
        <v/>
      </c>
      <c r="H498" t="str">
        <f t="shared" si="7"/>
        <v/>
      </c>
    </row>
    <row r="499" spans="1:8">
      <c r="A499" s="25" t="str">
        <f>IF('Clockify Raw'!J499="","",'Clockify Raw'!J499)</f>
        <v/>
      </c>
      <c r="B499" s="23" t="str">
        <f>IF('Clockify Raw'!K499="","",VALUE('Clockify Raw'!K499))</f>
        <v/>
      </c>
      <c r="C499" s="23" t="str">
        <f>IF('Clockify Raw'!M499="","",VALUE('Clockify Raw'!M499))</f>
        <v/>
      </c>
      <c r="D499" t="str">
        <f>IF('Clockify Raw'!A499="","",IF(LOWER('Clockify Raw'!A499)="break","Break","Work"))</f>
        <v/>
      </c>
      <c r="E499" t="str">
        <f>IF('Clockify Raw'!A499="","",IF(LOWER('Clockify Raw'!A499)="break","Break",IF('Clockify Raw'!C499&lt;&gt;"",'Clockify Raw'!C499,IF('Clockify Raw'!D499&lt;&gt;"",'Clockify Raw'!D499,'Clockify Raw'!A499))))</f>
        <v/>
      </c>
      <c r="F499" s="24" t="str">
        <f>IF('Clockify Raw'!O499="","",'Clockify Raw'!O499/24)</f>
        <v/>
      </c>
      <c r="G499" t="str">
        <f>IF(A499="","",COUNTIFS($A$2:$A$1000,A499,$B$2:$B$1000,"&lt;"&amp;B499)+COUNTIFS($A$2:A499,A499,$B$2:B499,B499))</f>
        <v/>
      </c>
      <c r="H499" t="str">
        <f t="shared" si="7"/>
        <v/>
      </c>
    </row>
    <row r="500" spans="1:8">
      <c r="A500" s="25" t="str">
        <f>IF('Clockify Raw'!J500="","",'Clockify Raw'!J500)</f>
        <v/>
      </c>
      <c r="B500" s="23" t="str">
        <f>IF('Clockify Raw'!K500="","",VALUE('Clockify Raw'!K500))</f>
        <v/>
      </c>
      <c r="C500" s="23" t="str">
        <f>IF('Clockify Raw'!M500="","",VALUE('Clockify Raw'!M500))</f>
        <v/>
      </c>
      <c r="D500" t="str">
        <f>IF('Clockify Raw'!A500="","",IF(LOWER('Clockify Raw'!A500)="break","Break","Work"))</f>
        <v/>
      </c>
      <c r="E500" t="str">
        <f>IF('Clockify Raw'!A500="","",IF(LOWER('Clockify Raw'!A500)="break","Break",IF('Clockify Raw'!C500&lt;&gt;"",'Clockify Raw'!C500,IF('Clockify Raw'!D500&lt;&gt;"",'Clockify Raw'!D500,'Clockify Raw'!A500))))</f>
        <v/>
      </c>
      <c r="F500" s="24" t="str">
        <f>IF('Clockify Raw'!O500="","",'Clockify Raw'!O500/24)</f>
        <v/>
      </c>
      <c r="G500" t="str">
        <f>IF(A500="","",COUNTIFS($A$2:$A$1000,A500,$B$2:$B$1000,"&lt;"&amp;B500)+COUNTIFS($A$2:A500,A500,$B$2:B500,B500))</f>
        <v/>
      </c>
      <c r="H500" t="str">
        <f t="shared" si="7"/>
        <v/>
      </c>
    </row>
    <row r="501" spans="1:8">
      <c r="A501" s="25" t="str">
        <f>IF('Clockify Raw'!J501="","",'Clockify Raw'!J501)</f>
        <v/>
      </c>
      <c r="B501" s="23" t="str">
        <f>IF('Clockify Raw'!K501="","",VALUE('Clockify Raw'!K501))</f>
        <v/>
      </c>
      <c r="C501" s="23" t="str">
        <f>IF('Clockify Raw'!M501="","",VALUE('Clockify Raw'!M501))</f>
        <v/>
      </c>
      <c r="D501" t="str">
        <f>IF('Clockify Raw'!A501="","",IF(LOWER('Clockify Raw'!A501)="break","Break","Work"))</f>
        <v/>
      </c>
      <c r="E501" t="str">
        <f>IF('Clockify Raw'!A501="","",IF(LOWER('Clockify Raw'!A501)="break","Break",IF('Clockify Raw'!C501&lt;&gt;"",'Clockify Raw'!C501,IF('Clockify Raw'!D501&lt;&gt;"",'Clockify Raw'!D501,'Clockify Raw'!A501))))</f>
        <v/>
      </c>
      <c r="F501" s="24" t="str">
        <f>IF('Clockify Raw'!O501="","",'Clockify Raw'!O501/24)</f>
        <v/>
      </c>
      <c r="G501" t="str">
        <f>IF(A501="","",COUNTIFS($A$2:$A$1000,A501,$B$2:$B$1000,"&lt;"&amp;B501)+COUNTIFS($A$2:A501,A501,$B$2:B501,B501))</f>
        <v/>
      </c>
      <c r="H501" t="str">
        <f t="shared" si="7"/>
        <v/>
      </c>
    </row>
    <row r="502" spans="1:8">
      <c r="A502" s="25" t="str">
        <f>IF('Clockify Raw'!J502="","",'Clockify Raw'!J502)</f>
        <v/>
      </c>
      <c r="B502" s="23" t="str">
        <f>IF('Clockify Raw'!K502="","",VALUE('Clockify Raw'!K502))</f>
        <v/>
      </c>
      <c r="C502" s="23" t="str">
        <f>IF('Clockify Raw'!M502="","",VALUE('Clockify Raw'!M502))</f>
        <v/>
      </c>
      <c r="D502" t="str">
        <f>IF('Clockify Raw'!A502="","",IF(LOWER('Clockify Raw'!A502)="break","Break","Work"))</f>
        <v/>
      </c>
      <c r="E502" t="str">
        <f>IF('Clockify Raw'!A502="","",IF(LOWER('Clockify Raw'!A502)="break","Break",IF('Clockify Raw'!C502&lt;&gt;"",'Clockify Raw'!C502,IF('Clockify Raw'!D502&lt;&gt;"",'Clockify Raw'!D502,'Clockify Raw'!A502))))</f>
        <v/>
      </c>
      <c r="F502" s="24" t="str">
        <f>IF('Clockify Raw'!O502="","",'Clockify Raw'!O502/24)</f>
        <v/>
      </c>
      <c r="G502" t="str">
        <f>IF(A502="","",COUNTIFS($A$2:$A$1000,A502,$B$2:$B$1000,"&lt;"&amp;B502)+COUNTIFS($A$2:A502,A502,$B$2:B502,B502))</f>
        <v/>
      </c>
      <c r="H502" t="str">
        <f t="shared" si="7"/>
        <v/>
      </c>
    </row>
    <row r="503" spans="1:8">
      <c r="A503" s="25" t="str">
        <f>IF('Clockify Raw'!J503="","",'Clockify Raw'!J503)</f>
        <v/>
      </c>
      <c r="B503" s="23" t="str">
        <f>IF('Clockify Raw'!K503="","",VALUE('Clockify Raw'!K503))</f>
        <v/>
      </c>
      <c r="C503" s="23" t="str">
        <f>IF('Clockify Raw'!M503="","",VALUE('Clockify Raw'!M503))</f>
        <v/>
      </c>
      <c r="D503" t="str">
        <f>IF('Clockify Raw'!A503="","",IF(LOWER('Clockify Raw'!A503)="break","Break","Work"))</f>
        <v/>
      </c>
      <c r="E503" t="str">
        <f>IF('Clockify Raw'!A503="","",IF(LOWER('Clockify Raw'!A503)="break","Break",IF('Clockify Raw'!C503&lt;&gt;"",'Clockify Raw'!C503,IF('Clockify Raw'!D503&lt;&gt;"",'Clockify Raw'!D503,'Clockify Raw'!A503))))</f>
        <v/>
      </c>
      <c r="F503" s="24" t="str">
        <f>IF('Clockify Raw'!O503="","",'Clockify Raw'!O503/24)</f>
        <v/>
      </c>
      <c r="G503" t="str">
        <f>IF(A503="","",COUNTIFS($A$2:$A$1000,A503,$B$2:$B$1000,"&lt;"&amp;B503)+COUNTIFS($A$2:A503,A503,$B$2:B503,B503))</f>
        <v/>
      </c>
      <c r="H503" t="str">
        <f t="shared" si="7"/>
        <v/>
      </c>
    </row>
    <row r="504" spans="1:8">
      <c r="A504" s="25" t="str">
        <f>IF('Clockify Raw'!J504="","",'Clockify Raw'!J504)</f>
        <v/>
      </c>
      <c r="B504" s="23" t="str">
        <f>IF('Clockify Raw'!K504="","",VALUE('Clockify Raw'!K504))</f>
        <v/>
      </c>
      <c r="C504" s="23" t="str">
        <f>IF('Clockify Raw'!M504="","",VALUE('Clockify Raw'!M504))</f>
        <v/>
      </c>
      <c r="D504" t="str">
        <f>IF('Clockify Raw'!A504="","",IF(LOWER('Clockify Raw'!A504)="break","Break","Work"))</f>
        <v/>
      </c>
      <c r="E504" t="str">
        <f>IF('Clockify Raw'!A504="","",IF(LOWER('Clockify Raw'!A504)="break","Break",IF('Clockify Raw'!C504&lt;&gt;"",'Clockify Raw'!C504,IF('Clockify Raw'!D504&lt;&gt;"",'Clockify Raw'!D504,'Clockify Raw'!A504))))</f>
        <v/>
      </c>
      <c r="F504" s="24" t="str">
        <f>IF('Clockify Raw'!O504="","",'Clockify Raw'!O504/24)</f>
        <v/>
      </c>
      <c r="G504" t="str">
        <f>IF(A504="","",COUNTIFS($A$2:$A$1000,A504,$B$2:$B$1000,"&lt;"&amp;B504)+COUNTIFS($A$2:A504,A504,$B$2:B504,B504))</f>
        <v/>
      </c>
      <c r="H504" t="str">
        <f t="shared" si="7"/>
        <v/>
      </c>
    </row>
    <row r="505" spans="1:8">
      <c r="A505" s="25" t="str">
        <f>IF('Clockify Raw'!J505="","",'Clockify Raw'!J505)</f>
        <v/>
      </c>
      <c r="B505" s="23" t="str">
        <f>IF('Clockify Raw'!K505="","",VALUE('Clockify Raw'!K505))</f>
        <v/>
      </c>
      <c r="C505" s="23" t="str">
        <f>IF('Clockify Raw'!M505="","",VALUE('Clockify Raw'!M505))</f>
        <v/>
      </c>
      <c r="D505" t="str">
        <f>IF('Clockify Raw'!A505="","",IF(LOWER('Clockify Raw'!A505)="break","Break","Work"))</f>
        <v/>
      </c>
      <c r="E505" t="str">
        <f>IF('Clockify Raw'!A505="","",IF(LOWER('Clockify Raw'!A505)="break","Break",IF('Clockify Raw'!C505&lt;&gt;"",'Clockify Raw'!C505,IF('Clockify Raw'!D505&lt;&gt;"",'Clockify Raw'!D505,'Clockify Raw'!A505))))</f>
        <v/>
      </c>
      <c r="F505" s="24" t="str">
        <f>IF('Clockify Raw'!O505="","",'Clockify Raw'!O505/24)</f>
        <v/>
      </c>
      <c r="G505" t="str">
        <f>IF(A505="","",COUNTIFS($A$2:$A$1000,A505,$B$2:$B$1000,"&lt;"&amp;B505)+COUNTIFS($A$2:A505,A505,$B$2:B505,B505))</f>
        <v/>
      </c>
      <c r="H505" t="str">
        <f t="shared" si="7"/>
        <v/>
      </c>
    </row>
    <row r="506" spans="1:8">
      <c r="A506" s="25" t="str">
        <f>IF('Clockify Raw'!J506="","",'Clockify Raw'!J506)</f>
        <v/>
      </c>
      <c r="B506" s="23" t="str">
        <f>IF('Clockify Raw'!K506="","",VALUE('Clockify Raw'!K506))</f>
        <v/>
      </c>
      <c r="C506" s="23" t="str">
        <f>IF('Clockify Raw'!M506="","",VALUE('Clockify Raw'!M506))</f>
        <v/>
      </c>
      <c r="D506" t="str">
        <f>IF('Clockify Raw'!A506="","",IF(LOWER('Clockify Raw'!A506)="break","Break","Work"))</f>
        <v/>
      </c>
      <c r="E506" t="str">
        <f>IF('Clockify Raw'!A506="","",IF(LOWER('Clockify Raw'!A506)="break","Break",IF('Clockify Raw'!C506&lt;&gt;"",'Clockify Raw'!C506,IF('Clockify Raw'!D506&lt;&gt;"",'Clockify Raw'!D506,'Clockify Raw'!A506))))</f>
        <v/>
      </c>
      <c r="F506" s="24" t="str">
        <f>IF('Clockify Raw'!O506="","",'Clockify Raw'!O506/24)</f>
        <v/>
      </c>
      <c r="G506" t="str">
        <f>IF(A506="","",COUNTIFS($A$2:$A$1000,A506,$B$2:$B$1000,"&lt;"&amp;B506)+COUNTIFS($A$2:A506,A506,$B$2:B506,B506))</f>
        <v/>
      </c>
      <c r="H506" t="str">
        <f t="shared" si="7"/>
        <v/>
      </c>
    </row>
    <row r="507" spans="1:8">
      <c r="A507" s="25" t="str">
        <f>IF('Clockify Raw'!J507="","",'Clockify Raw'!J507)</f>
        <v/>
      </c>
      <c r="B507" s="23" t="str">
        <f>IF('Clockify Raw'!K507="","",VALUE('Clockify Raw'!K507))</f>
        <v/>
      </c>
      <c r="C507" s="23" t="str">
        <f>IF('Clockify Raw'!M507="","",VALUE('Clockify Raw'!M507))</f>
        <v/>
      </c>
      <c r="D507" t="str">
        <f>IF('Clockify Raw'!A507="","",IF(LOWER('Clockify Raw'!A507)="break","Break","Work"))</f>
        <v/>
      </c>
      <c r="E507" t="str">
        <f>IF('Clockify Raw'!A507="","",IF(LOWER('Clockify Raw'!A507)="break","Break",IF('Clockify Raw'!C507&lt;&gt;"",'Clockify Raw'!C507,IF('Clockify Raw'!D507&lt;&gt;"",'Clockify Raw'!D507,'Clockify Raw'!A507))))</f>
        <v/>
      </c>
      <c r="F507" s="24" t="str">
        <f>IF('Clockify Raw'!O507="","",'Clockify Raw'!O507/24)</f>
        <v/>
      </c>
      <c r="G507" t="str">
        <f>IF(A507="","",COUNTIFS($A$2:$A$1000,A507,$B$2:$B$1000,"&lt;"&amp;B507)+COUNTIFS($A$2:A507,A507,$B$2:B507,B507))</f>
        <v/>
      </c>
      <c r="H507" t="str">
        <f t="shared" si="7"/>
        <v/>
      </c>
    </row>
    <row r="508" spans="1:8">
      <c r="A508" s="25" t="str">
        <f>IF('Clockify Raw'!J508="","",'Clockify Raw'!J508)</f>
        <v/>
      </c>
      <c r="B508" s="23" t="str">
        <f>IF('Clockify Raw'!K508="","",VALUE('Clockify Raw'!K508))</f>
        <v/>
      </c>
      <c r="C508" s="23" t="str">
        <f>IF('Clockify Raw'!M508="","",VALUE('Clockify Raw'!M508))</f>
        <v/>
      </c>
      <c r="D508" t="str">
        <f>IF('Clockify Raw'!A508="","",IF(LOWER('Clockify Raw'!A508)="break","Break","Work"))</f>
        <v/>
      </c>
      <c r="E508" t="str">
        <f>IF('Clockify Raw'!A508="","",IF(LOWER('Clockify Raw'!A508)="break","Break",IF('Clockify Raw'!C508&lt;&gt;"",'Clockify Raw'!C508,IF('Clockify Raw'!D508&lt;&gt;"",'Clockify Raw'!D508,'Clockify Raw'!A508))))</f>
        <v/>
      </c>
      <c r="F508" s="24" t="str">
        <f>IF('Clockify Raw'!O508="","",'Clockify Raw'!O508/24)</f>
        <v/>
      </c>
      <c r="G508" t="str">
        <f>IF(A508="","",COUNTIFS($A$2:$A$1000,A508,$B$2:$B$1000,"&lt;"&amp;B508)+COUNTIFS($A$2:A508,A508,$B$2:B508,B508))</f>
        <v/>
      </c>
      <c r="H508" t="str">
        <f t="shared" si="7"/>
        <v/>
      </c>
    </row>
    <row r="509" spans="1:8">
      <c r="A509" s="25" t="str">
        <f>IF('Clockify Raw'!J509="","",'Clockify Raw'!J509)</f>
        <v/>
      </c>
      <c r="B509" s="23" t="str">
        <f>IF('Clockify Raw'!K509="","",VALUE('Clockify Raw'!K509))</f>
        <v/>
      </c>
      <c r="C509" s="23" t="str">
        <f>IF('Clockify Raw'!M509="","",VALUE('Clockify Raw'!M509))</f>
        <v/>
      </c>
      <c r="D509" t="str">
        <f>IF('Clockify Raw'!A509="","",IF(LOWER('Clockify Raw'!A509)="break","Break","Work"))</f>
        <v/>
      </c>
      <c r="E509" t="str">
        <f>IF('Clockify Raw'!A509="","",IF(LOWER('Clockify Raw'!A509)="break","Break",IF('Clockify Raw'!C509&lt;&gt;"",'Clockify Raw'!C509,IF('Clockify Raw'!D509&lt;&gt;"",'Clockify Raw'!D509,'Clockify Raw'!A509))))</f>
        <v/>
      </c>
      <c r="F509" s="24" t="str">
        <f>IF('Clockify Raw'!O509="","",'Clockify Raw'!O509/24)</f>
        <v/>
      </c>
      <c r="G509" t="str">
        <f>IF(A509="","",COUNTIFS($A$2:$A$1000,A509,$B$2:$B$1000,"&lt;"&amp;B509)+COUNTIFS($A$2:A509,A509,$B$2:B509,B509))</f>
        <v/>
      </c>
      <c r="H509" t="str">
        <f t="shared" si="7"/>
        <v/>
      </c>
    </row>
    <row r="510" spans="1:8">
      <c r="A510" s="25" t="str">
        <f>IF('Clockify Raw'!J510="","",'Clockify Raw'!J510)</f>
        <v/>
      </c>
      <c r="B510" s="23" t="str">
        <f>IF('Clockify Raw'!K510="","",VALUE('Clockify Raw'!K510))</f>
        <v/>
      </c>
      <c r="C510" s="23" t="str">
        <f>IF('Clockify Raw'!M510="","",VALUE('Clockify Raw'!M510))</f>
        <v/>
      </c>
      <c r="D510" t="str">
        <f>IF('Clockify Raw'!A510="","",IF(LOWER('Clockify Raw'!A510)="break","Break","Work"))</f>
        <v/>
      </c>
      <c r="E510" t="str">
        <f>IF('Clockify Raw'!A510="","",IF(LOWER('Clockify Raw'!A510)="break","Break",IF('Clockify Raw'!C510&lt;&gt;"",'Clockify Raw'!C510,IF('Clockify Raw'!D510&lt;&gt;"",'Clockify Raw'!D510,'Clockify Raw'!A510))))</f>
        <v/>
      </c>
      <c r="F510" s="24" t="str">
        <f>IF('Clockify Raw'!O510="","",'Clockify Raw'!O510/24)</f>
        <v/>
      </c>
      <c r="G510" t="str">
        <f>IF(A510="","",COUNTIFS($A$2:$A$1000,A510,$B$2:$B$1000,"&lt;"&amp;B510)+COUNTIFS($A$2:A510,A510,$B$2:B510,B510))</f>
        <v/>
      </c>
      <c r="H510" t="str">
        <f t="shared" si="7"/>
        <v/>
      </c>
    </row>
    <row r="511" spans="1:8">
      <c r="A511" s="25" t="str">
        <f>IF('Clockify Raw'!J511="","",'Clockify Raw'!J511)</f>
        <v/>
      </c>
      <c r="B511" s="23" t="str">
        <f>IF('Clockify Raw'!K511="","",VALUE('Clockify Raw'!K511))</f>
        <v/>
      </c>
      <c r="C511" s="23" t="str">
        <f>IF('Clockify Raw'!M511="","",VALUE('Clockify Raw'!M511))</f>
        <v/>
      </c>
      <c r="D511" t="str">
        <f>IF('Clockify Raw'!A511="","",IF(LOWER('Clockify Raw'!A511)="break","Break","Work"))</f>
        <v/>
      </c>
      <c r="E511" t="str">
        <f>IF('Clockify Raw'!A511="","",IF(LOWER('Clockify Raw'!A511)="break","Break",IF('Clockify Raw'!C511&lt;&gt;"",'Clockify Raw'!C511,IF('Clockify Raw'!D511&lt;&gt;"",'Clockify Raw'!D511,'Clockify Raw'!A511))))</f>
        <v/>
      </c>
      <c r="F511" s="24" t="str">
        <f>IF('Clockify Raw'!O511="","",'Clockify Raw'!O511/24)</f>
        <v/>
      </c>
      <c r="G511" t="str">
        <f>IF(A511="","",COUNTIFS($A$2:$A$1000,A511,$B$2:$B$1000,"&lt;"&amp;B511)+COUNTIFS($A$2:A511,A511,$B$2:B511,B511))</f>
        <v/>
      </c>
      <c r="H511" t="str">
        <f t="shared" si="7"/>
        <v/>
      </c>
    </row>
    <row r="512" spans="1:8">
      <c r="A512" s="25" t="str">
        <f>IF('Clockify Raw'!J512="","",'Clockify Raw'!J512)</f>
        <v/>
      </c>
      <c r="B512" s="23" t="str">
        <f>IF('Clockify Raw'!K512="","",VALUE('Clockify Raw'!K512))</f>
        <v/>
      </c>
      <c r="C512" s="23" t="str">
        <f>IF('Clockify Raw'!M512="","",VALUE('Clockify Raw'!M512))</f>
        <v/>
      </c>
      <c r="D512" t="str">
        <f>IF('Clockify Raw'!A512="","",IF(LOWER('Clockify Raw'!A512)="break","Break","Work"))</f>
        <v/>
      </c>
      <c r="E512" t="str">
        <f>IF('Clockify Raw'!A512="","",IF(LOWER('Clockify Raw'!A512)="break","Break",IF('Clockify Raw'!C512&lt;&gt;"",'Clockify Raw'!C512,IF('Clockify Raw'!D512&lt;&gt;"",'Clockify Raw'!D512,'Clockify Raw'!A512))))</f>
        <v/>
      </c>
      <c r="F512" s="24" t="str">
        <f>IF('Clockify Raw'!O512="","",'Clockify Raw'!O512/24)</f>
        <v/>
      </c>
      <c r="G512" t="str">
        <f>IF(A512="","",COUNTIFS($A$2:$A$1000,A512,$B$2:$B$1000,"&lt;"&amp;B512)+COUNTIFS($A$2:A512,A512,$B$2:B512,B512))</f>
        <v/>
      </c>
      <c r="H512" t="str">
        <f t="shared" si="7"/>
        <v/>
      </c>
    </row>
    <row r="513" spans="1:8">
      <c r="A513" s="25" t="str">
        <f>IF('Clockify Raw'!J513="","",'Clockify Raw'!J513)</f>
        <v/>
      </c>
      <c r="B513" s="23" t="str">
        <f>IF('Clockify Raw'!K513="","",VALUE('Clockify Raw'!K513))</f>
        <v/>
      </c>
      <c r="C513" s="23" t="str">
        <f>IF('Clockify Raw'!M513="","",VALUE('Clockify Raw'!M513))</f>
        <v/>
      </c>
      <c r="D513" t="str">
        <f>IF('Clockify Raw'!A513="","",IF(LOWER('Clockify Raw'!A513)="break","Break","Work"))</f>
        <v/>
      </c>
      <c r="E513" t="str">
        <f>IF('Clockify Raw'!A513="","",IF(LOWER('Clockify Raw'!A513)="break","Break",IF('Clockify Raw'!C513&lt;&gt;"",'Clockify Raw'!C513,IF('Clockify Raw'!D513&lt;&gt;"",'Clockify Raw'!D513,'Clockify Raw'!A513))))</f>
        <v/>
      </c>
      <c r="F513" s="24" t="str">
        <f>IF('Clockify Raw'!O513="","",'Clockify Raw'!O513/24)</f>
        <v/>
      </c>
      <c r="G513" t="str">
        <f>IF(A513="","",COUNTIFS($A$2:$A$1000,A513,$B$2:$B$1000,"&lt;"&amp;B513)+COUNTIFS($A$2:A513,A513,$B$2:B513,B513))</f>
        <v/>
      </c>
      <c r="H513" t="str">
        <f t="shared" si="7"/>
        <v/>
      </c>
    </row>
    <row r="514" spans="1:8">
      <c r="A514" s="25" t="str">
        <f>IF('Clockify Raw'!J514="","",'Clockify Raw'!J514)</f>
        <v/>
      </c>
      <c r="B514" s="23" t="str">
        <f>IF('Clockify Raw'!K514="","",VALUE('Clockify Raw'!K514))</f>
        <v/>
      </c>
      <c r="C514" s="23" t="str">
        <f>IF('Clockify Raw'!M514="","",VALUE('Clockify Raw'!M514))</f>
        <v/>
      </c>
      <c r="D514" t="str">
        <f>IF('Clockify Raw'!A514="","",IF(LOWER('Clockify Raw'!A514)="break","Break","Work"))</f>
        <v/>
      </c>
      <c r="E514" t="str">
        <f>IF('Clockify Raw'!A514="","",IF(LOWER('Clockify Raw'!A514)="break","Break",IF('Clockify Raw'!C514&lt;&gt;"",'Clockify Raw'!C514,IF('Clockify Raw'!D514&lt;&gt;"",'Clockify Raw'!D514,'Clockify Raw'!A514))))</f>
        <v/>
      </c>
      <c r="F514" s="24" t="str">
        <f>IF('Clockify Raw'!O514="","",'Clockify Raw'!O514/24)</f>
        <v/>
      </c>
      <c r="G514" t="str">
        <f>IF(A514="","",COUNTIFS($A$2:$A$1000,A514,$B$2:$B$1000,"&lt;"&amp;B514)+COUNTIFS($A$2:A514,A514,$B$2:B514,B514))</f>
        <v/>
      </c>
      <c r="H514" t="str">
        <f t="shared" ref="H514:H577" si="8">IF(A514="","",TEXT(A514,"yyyymmdd")&amp;"|"&amp;G514)</f>
        <v/>
      </c>
    </row>
    <row r="515" spans="1:8">
      <c r="A515" s="25" t="str">
        <f>IF('Clockify Raw'!J515="","",'Clockify Raw'!J515)</f>
        <v/>
      </c>
      <c r="B515" s="23" t="str">
        <f>IF('Clockify Raw'!K515="","",VALUE('Clockify Raw'!K515))</f>
        <v/>
      </c>
      <c r="C515" s="23" t="str">
        <f>IF('Clockify Raw'!M515="","",VALUE('Clockify Raw'!M515))</f>
        <v/>
      </c>
      <c r="D515" t="str">
        <f>IF('Clockify Raw'!A515="","",IF(LOWER('Clockify Raw'!A515)="break","Break","Work"))</f>
        <v/>
      </c>
      <c r="E515" t="str">
        <f>IF('Clockify Raw'!A515="","",IF(LOWER('Clockify Raw'!A515)="break","Break",IF('Clockify Raw'!C515&lt;&gt;"",'Clockify Raw'!C515,IF('Clockify Raw'!D515&lt;&gt;"",'Clockify Raw'!D515,'Clockify Raw'!A515))))</f>
        <v/>
      </c>
      <c r="F515" s="24" t="str">
        <f>IF('Clockify Raw'!O515="","",'Clockify Raw'!O515/24)</f>
        <v/>
      </c>
      <c r="G515" t="str">
        <f>IF(A515="","",COUNTIFS($A$2:$A$1000,A515,$B$2:$B$1000,"&lt;"&amp;B515)+COUNTIFS($A$2:A515,A515,$B$2:B515,B515))</f>
        <v/>
      </c>
      <c r="H515" t="str">
        <f t="shared" si="8"/>
        <v/>
      </c>
    </row>
    <row r="516" spans="1:8">
      <c r="A516" s="25" t="str">
        <f>IF('Clockify Raw'!J516="","",'Clockify Raw'!J516)</f>
        <v/>
      </c>
      <c r="B516" s="23" t="str">
        <f>IF('Clockify Raw'!K516="","",VALUE('Clockify Raw'!K516))</f>
        <v/>
      </c>
      <c r="C516" s="23" t="str">
        <f>IF('Clockify Raw'!M516="","",VALUE('Clockify Raw'!M516))</f>
        <v/>
      </c>
      <c r="D516" t="str">
        <f>IF('Clockify Raw'!A516="","",IF(LOWER('Clockify Raw'!A516)="break","Break","Work"))</f>
        <v/>
      </c>
      <c r="E516" t="str">
        <f>IF('Clockify Raw'!A516="","",IF(LOWER('Clockify Raw'!A516)="break","Break",IF('Clockify Raw'!C516&lt;&gt;"",'Clockify Raw'!C516,IF('Clockify Raw'!D516&lt;&gt;"",'Clockify Raw'!D516,'Clockify Raw'!A516))))</f>
        <v/>
      </c>
      <c r="F516" s="24" t="str">
        <f>IF('Clockify Raw'!O516="","",'Clockify Raw'!O516/24)</f>
        <v/>
      </c>
      <c r="G516" t="str">
        <f>IF(A516="","",COUNTIFS($A$2:$A$1000,A516,$B$2:$B$1000,"&lt;"&amp;B516)+COUNTIFS($A$2:A516,A516,$B$2:B516,B516))</f>
        <v/>
      </c>
      <c r="H516" t="str">
        <f t="shared" si="8"/>
        <v/>
      </c>
    </row>
    <row r="517" spans="1:8">
      <c r="A517" s="25" t="str">
        <f>IF('Clockify Raw'!J517="","",'Clockify Raw'!J517)</f>
        <v/>
      </c>
      <c r="B517" s="23" t="str">
        <f>IF('Clockify Raw'!K517="","",VALUE('Clockify Raw'!K517))</f>
        <v/>
      </c>
      <c r="C517" s="23" t="str">
        <f>IF('Clockify Raw'!M517="","",VALUE('Clockify Raw'!M517))</f>
        <v/>
      </c>
      <c r="D517" t="str">
        <f>IF('Clockify Raw'!A517="","",IF(LOWER('Clockify Raw'!A517)="break","Break","Work"))</f>
        <v/>
      </c>
      <c r="E517" t="str">
        <f>IF('Clockify Raw'!A517="","",IF(LOWER('Clockify Raw'!A517)="break","Break",IF('Clockify Raw'!C517&lt;&gt;"",'Clockify Raw'!C517,IF('Clockify Raw'!D517&lt;&gt;"",'Clockify Raw'!D517,'Clockify Raw'!A517))))</f>
        <v/>
      </c>
      <c r="F517" s="24" t="str">
        <f>IF('Clockify Raw'!O517="","",'Clockify Raw'!O517/24)</f>
        <v/>
      </c>
      <c r="G517" t="str">
        <f>IF(A517="","",COUNTIFS($A$2:$A$1000,A517,$B$2:$B$1000,"&lt;"&amp;B517)+COUNTIFS($A$2:A517,A517,$B$2:B517,B517))</f>
        <v/>
      </c>
      <c r="H517" t="str">
        <f t="shared" si="8"/>
        <v/>
      </c>
    </row>
    <row r="518" spans="1:8">
      <c r="A518" s="25" t="str">
        <f>IF('Clockify Raw'!J518="","",'Clockify Raw'!J518)</f>
        <v/>
      </c>
      <c r="B518" s="23" t="str">
        <f>IF('Clockify Raw'!K518="","",VALUE('Clockify Raw'!K518))</f>
        <v/>
      </c>
      <c r="C518" s="23" t="str">
        <f>IF('Clockify Raw'!M518="","",VALUE('Clockify Raw'!M518))</f>
        <v/>
      </c>
      <c r="D518" t="str">
        <f>IF('Clockify Raw'!A518="","",IF(LOWER('Clockify Raw'!A518)="break","Break","Work"))</f>
        <v/>
      </c>
      <c r="E518" t="str">
        <f>IF('Clockify Raw'!A518="","",IF(LOWER('Clockify Raw'!A518)="break","Break",IF('Clockify Raw'!C518&lt;&gt;"",'Clockify Raw'!C518,IF('Clockify Raw'!D518&lt;&gt;"",'Clockify Raw'!D518,'Clockify Raw'!A518))))</f>
        <v/>
      </c>
      <c r="F518" s="24" t="str">
        <f>IF('Clockify Raw'!O518="","",'Clockify Raw'!O518/24)</f>
        <v/>
      </c>
      <c r="G518" t="str">
        <f>IF(A518="","",COUNTIFS($A$2:$A$1000,A518,$B$2:$B$1000,"&lt;"&amp;B518)+COUNTIFS($A$2:A518,A518,$B$2:B518,B518))</f>
        <v/>
      </c>
      <c r="H518" t="str">
        <f t="shared" si="8"/>
        <v/>
      </c>
    </row>
    <row r="519" spans="1:8">
      <c r="A519" s="25" t="str">
        <f>IF('Clockify Raw'!J519="","",'Clockify Raw'!J519)</f>
        <v/>
      </c>
      <c r="B519" s="23" t="str">
        <f>IF('Clockify Raw'!K519="","",VALUE('Clockify Raw'!K519))</f>
        <v/>
      </c>
      <c r="C519" s="23" t="str">
        <f>IF('Clockify Raw'!M519="","",VALUE('Clockify Raw'!M519))</f>
        <v/>
      </c>
      <c r="D519" t="str">
        <f>IF('Clockify Raw'!A519="","",IF(LOWER('Clockify Raw'!A519)="break","Break","Work"))</f>
        <v/>
      </c>
      <c r="E519" t="str">
        <f>IF('Clockify Raw'!A519="","",IF(LOWER('Clockify Raw'!A519)="break","Break",IF('Clockify Raw'!C519&lt;&gt;"",'Clockify Raw'!C519,IF('Clockify Raw'!D519&lt;&gt;"",'Clockify Raw'!D519,'Clockify Raw'!A519))))</f>
        <v/>
      </c>
      <c r="F519" s="24" t="str">
        <f>IF('Clockify Raw'!O519="","",'Clockify Raw'!O519/24)</f>
        <v/>
      </c>
      <c r="G519" t="str">
        <f>IF(A519="","",COUNTIFS($A$2:$A$1000,A519,$B$2:$B$1000,"&lt;"&amp;B519)+COUNTIFS($A$2:A519,A519,$B$2:B519,B519))</f>
        <v/>
      </c>
      <c r="H519" t="str">
        <f t="shared" si="8"/>
        <v/>
      </c>
    </row>
    <row r="520" spans="1:8">
      <c r="A520" s="25" t="str">
        <f>IF('Clockify Raw'!J520="","",'Clockify Raw'!J520)</f>
        <v/>
      </c>
      <c r="B520" s="23" t="str">
        <f>IF('Clockify Raw'!K520="","",VALUE('Clockify Raw'!K520))</f>
        <v/>
      </c>
      <c r="C520" s="23" t="str">
        <f>IF('Clockify Raw'!M520="","",VALUE('Clockify Raw'!M520))</f>
        <v/>
      </c>
      <c r="D520" t="str">
        <f>IF('Clockify Raw'!A520="","",IF(LOWER('Clockify Raw'!A520)="break","Break","Work"))</f>
        <v/>
      </c>
      <c r="E520" t="str">
        <f>IF('Clockify Raw'!A520="","",IF(LOWER('Clockify Raw'!A520)="break","Break",IF('Clockify Raw'!C520&lt;&gt;"",'Clockify Raw'!C520,IF('Clockify Raw'!D520&lt;&gt;"",'Clockify Raw'!D520,'Clockify Raw'!A520))))</f>
        <v/>
      </c>
      <c r="F520" s="24" t="str">
        <f>IF('Clockify Raw'!O520="","",'Clockify Raw'!O520/24)</f>
        <v/>
      </c>
      <c r="G520" t="str">
        <f>IF(A520="","",COUNTIFS($A$2:$A$1000,A520,$B$2:$B$1000,"&lt;"&amp;B520)+COUNTIFS($A$2:A520,A520,$B$2:B520,B520))</f>
        <v/>
      </c>
      <c r="H520" t="str">
        <f t="shared" si="8"/>
        <v/>
      </c>
    </row>
    <row r="521" spans="1:8">
      <c r="A521" s="25" t="str">
        <f>IF('Clockify Raw'!J521="","",'Clockify Raw'!J521)</f>
        <v/>
      </c>
      <c r="B521" s="23" t="str">
        <f>IF('Clockify Raw'!K521="","",VALUE('Clockify Raw'!K521))</f>
        <v/>
      </c>
      <c r="C521" s="23" t="str">
        <f>IF('Clockify Raw'!M521="","",VALUE('Clockify Raw'!M521))</f>
        <v/>
      </c>
      <c r="D521" t="str">
        <f>IF('Clockify Raw'!A521="","",IF(LOWER('Clockify Raw'!A521)="break","Break","Work"))</f>
        <v/>
      </c>
      <c r="E521" t="str">
        <f>IF('Clockify Raw'!A521="","",IF(LOWER('Clockify Raw'!A521)="break","Break",IF('Clockify Raw'!C521&lt;&gt;"",'Clockify Raw'!C521,IF('Clockify Raw'!D521&lt;&gt;"",'Clockify Raw'!D521,'Clockify Raw'!A521))))</f>
        <v/>
      </c>
      <c r="F521" s="24" t="str">
        <f>IF('Clockify Raw'!O521="","",'Clockify Raw'!O521/24)</f>
        <v/>
      </c>
      <c r="G521" t="str">
        <f>IF(A521="","",COUNTIFS($A$2:$A$1000,A521,$B$2:$B$1000,"&lt;"&amp;B521)+COUNTIFS($A$2:A521,A521,$B$2:B521,B521))</f>
        <v/>
      </c>
      <c r="H521" t="str">
        <f t="shared" si="8"/>
        <v/>
      </c>
    </row>
    <row r="522" spans="1:8">
      <c r="A522" s="25" t="str">
        <f>IF('Clockify Raw'!J522="","",'Clockify Raw'!J522)</f>
        <v/>
      </c>
      <c r="B522" s="23" t="str">
        <f>IF('Clockify Raw'!K522="","",VALUE('Clockify Raw'!K522))</f>
        <v/>
      </c>
      <c r="C522" s="23" t="str">
        <f>IF('Clockify Raw'!M522="","",VALUE('Clockify Raw'!M522))</f>
        <v/>
      </c>
      <c r="D522" t="str">
        <f>IF('Clockify Raw'!A522="","",IF(LOWER('Clockify Raw'!A522)="break","Break","Work"))</f>
        <v/>
      </c>
      <c r="E522" t="str">
        <f>IF('Clockify Raw'!A522="","",IF(LOWER('Clockify Raw'!A522)="break","Break",IF('Clockify Raw'!C522&lt;&gt;"",'Clockify Raw'!C522,IF('Clockify Raw'!D522&lt;&gt;"",'Clockify Raw'!D522,'Clockify Raw'!A522))))</f>
        <v/>
      </c>
      <c r="F522" s="24" t="str">
        <f>IF('Clockify Raw'!O522="","",'Clockify Raw'!O522/24)</f>
        <v/>
      </c>
      <c r="G522" t="str">
        <f>IF(A522="","",COUNTIFS($A$2:$A$1000,A522,$B$2:$B$1000,"&lt;"&amp;B522)+COUNTIFS($A$2:A522,A522,$B$2:B522,B522))</f>
        <v/>
      </c>
      <c r="H522" t="str">
        <f t="shared" si="8"/>
        <v/>
      </c>
    </row>
    <row r="523" spans="1:8">
      <c r="A523" s="25" t="str">
        <f>IF('Clockify Raw'!J523="","",'Clockify Raw'!J523)</f>
        <v/>
      </c>
      <c r="B523" s="23" t="str">
        <f>IF('Clockify Raw'!K523="","",VALUE('Clockify Raw'!K523))</f>
        <v/>
      </c>
      <c r="C523" s="23" t="str">
        <f>IF('Clockify Raw'!M523="","",VALUE('Clockify Raw'!M523))</f>
        <v/>
      </c>
      <c r="D523" t="str">
        <f>IF('Clockify Raw'!A523="","",IF(LOWER('Clockify Raw'!A523)="break","Break","Work"))</f>
        <v/>
      </c>
      <c r="E523" t="str">
        <f>IF('Clockify Raw'!A523="","",IF(LOWER('Clockify Raw'!A523)="break","Break",IF('Clockify Raw'!C523&lt;&gt;"",'Clockify Raw'!C523,IF('Clockify Raw'!D523&lt;&gt;"",'Clockify Raw'!D523,'Clockify Raw'!A523))))</f>
        <v/>
      </c>
      <c r="F523" s="24" t="str">
        <f>IF('Clockify Raw'!O523="","",'Clockify Raw'!O523/24)</f>
        <v/>
      </c>
      <c r="G523" t="str">
        <f>IF(A523="","",COUNTIFS($A$2:$A$1000,A523,$B$2:$B$1000,"&lt;"&amp;B523)+COUNTIFS($A$2:A523,A523,$B$2:B523,B523))</f>
        <v/>
      </c>
      <c r="H523" t="str">
        <f t="shared" si="8"/>
        <v/>
      </c>
    </row>
    <row r="524" spans="1:8">
      <c r="A524" s="25" t="str">
        <f>IF('Clockify Raw'!J524="","",'Clockify Raw'!J524)</f>
        <v/>
      </c>
      <c r="B524" s="23" t="str">
        <f>IF('Clockify Raw'!K524="","",VALUE('Clockify Raw'!K524))</f>
        <v/>
      </c>
      <c r="C524" s="23" t="str">
        <f>IF('Clockify Raw'!M524="","",VALUE('Clockify Raw'!M524))</f>
        <v/>
      </c>
      <c r="D524" t="str">
        <f>IF('Clockify Raw'!A524="","",IF(LOWER('Clockify Raw'!A524)="break","Break","Work"))</f>
        <v/>
      </c>
      <c r="E524" t="str">
        <f>IF('Clockify Raw'!A524="","",IF(LOWER('Clockify Raw'!A524)="break","Break",IF('Clockify Raw'!C524&lt;&gt;"",'Clockify Raw'!C524,IF('Clockify Raw'!D524&lt;&gt;"",'Clockify Raw'!D524,'Clockify Raw'!A524))))</f>
        <v/>
      </c>
      <c r="F524" s="24" t="str">
        <f>IF('Clockify Raw'!O524="","",'Clockify Raw'!O524/24)</f>
        <v/>
      </c>
      <c r="G524" t="str">
        <f>IF(A524="","",COUNTIFS($A$2:$A$1000,A524,$B$2:$B$1000,"&lt;"&amp;B524)+COUNTIFS($A$2:A524,A524,$B$2:B524,B524))</f>
        <v/>
      </c>
      <c r="H524" t="str">
        <f t="shared" si="8"/>
        <v/>
      </c>
    </row>
    <row r="525" spans="1:8">
      <c r="A525" s="25" t="str">
        <f>IF('Clockify Raw'!J525="","",'Clockify Raw'!J525)</f>
        <v/>
      </c>
      <c r="B525" s="23" t="str">
        <f>IF('Clockify Raw'!K525="","",VALUE('Clockify Raw'!K525))</f>
        <v/>
      </c>
      <c r="C525" s="23" t="str">
        <f>IF('Clockify Raw'!M525="","",VALUE('Clockify Raw'!M525))</f>
        <v/>
      </c>
      <c r="D525" t="str">
        <f>IF('Clockify Raw'!A525="","",IF(LOWER('Clockify Raw'!A525)="break","Break","Work"))</f>
        <v/>
      </c>
      <c r="E525" t="str">
        <f>IF('Clockify Raw'!A525="","",IF(LOWER('Clockify Raw'!A525)="break","Break",IF('Clockify Raw'!C525&lt;&gt;"",'Clockify Raw'!C525,IF('Clockify Raw'!D525&lt;&gt;"",'Clockify Raw'!D525,'Clockify Raw'!A525))))</f>
        <v/>
      </c>
      <c r="F525" s="24" t="str">
        <f>IF('Clockify Raw'!O525="","",'Clockify Raw'!O525/24)</f>
        <v/>
      </c>
      <c r="G525" t="str">
        <f>IF(A525="","",COUNTIFS($A$2:$A$1000,A525,$B$2:$B$1000,"&lt;"&amp;B525)+COUNTIFS($A$2:A525,A525,$B$2:B525,B525))</f>
        <v/>
      </c>
      <c r="H525" t="str">
        <f t="shared" si="8"/>
        <v/>
      </c>
    </row>
    <row r="526" spans="1:8">
      <c r="A526" s="25" t="str">
        <f>IF('Clockify Raw'!J526="","",'Clockify Raw'!J526)</f>
        <v/>
      </c>
      <c r="B526" s="23" t="str">
        <f>IF('Clockify Raw'!K526="","",VALUE('Clockify Raw'!K526))</f>
        <v/>
      </c>
      <c r="C526" s="23" t="str">
        <f>IF('Clockify Raw'!M526="","",VALUE('Clockify Raw'!M526))</f>
        <v/>
      </c>
      <c r="D526" t="str">
        <f>IF('Clockify Raw'!A526="","",IF(LOWER('Clockify Raw'!A526)="break","Break","Work"))</f>
        <v/>
      </c>
      <c r="E526" t="str">
        <f>IF('Clockify Raw'!A526="","",IF(LOWER('Clockify Raw'!A526)="break","Break",IF('Clockify Raw'!C526&lt;&gt;"",'Clockify Raw'!C526,IF('Clockify Raw'!D526&lt;&gt;"",'Clockify Raw'!D526,'Clockify Raw'!A526))))</f>
        <v/>
      </c>
      <c r="F526" s="24" t="str">
        <f>IF('Clockify Raw'!O526="","",'Clockify Raw'!O526/24)</f>
        <v/>
      </c>
      <c r="G526" t="str">
        <f>IF(A526="","",COUNTIFS($A$2:$A$1000,A526,$B$2:$B$1000,"&lt;"&amp;B526)+COUNTIFS($A$2:A526,A526,$B$2:B526,B526))</f>
        <v/>
      </c>
      <c r="H526" t="str">
        <f t="shared" si="8"/>
        <v/>
      </c>
    </row>
    <row r="527" spans="1:8">
      <c r="A527" s="25" t="str">
        <f>IF('Clockify Raw'!J527="","",'Clockify Raw'!J527)</f>
        <v/>
      </c>
      <c r="B527" s="23" t="str">
        <f>IF('Clockify Raw'!K527="","",VALUE('Clockify Raw'!K527))</f>
        <v/>
      </c>
      <c r="C527" s="23" t="str">
        <f>IF('Clockify Raw'!M527="","",VALUE('Clockify Raw'!M527))</f>
        <v/>
      </c>
      <c r="D527" t="str">
        <f>IF('Clockify Raw'!A527="","",IF(LOWER('Clockify Raw'!A527)="break","Break","Work"))</f>
        <v/>
      </c>
      <c r="E527" t="str">
        <f>IF('Clockify Raw'!A527="","",IF(LOWER('Clockify Raw'!A527)="break","Break",IF('Clockify Raw'!C527&lt;&gt;"",'Clockify Raw'!C527,IF('Clockify Raw'!D527&lt;&gt;"",'Clockify Raw'!D527,'Clockify Raw'!A527))))</f>
        <v/>
      </c>
      <c r="F527" s="24" t="str">
        <f>IF('Clockify Raw'!O527="","",'Clockify Raw'!O527/24)</f>
        <v/>
      </c>
      <c r="G527" t="str">
        <f>IF(A527="","",COUNTIFS($A$2:$A$1000,A527,$B$2:$B$1000,"&lt;"&amp;B527)+COUNTIFS($A$2:A527,A527,$B$2:B527,B527))</f>
        <v/>
      </c>
      <c r="H527" t="str">
        <f t="shared" si="8"/>
        <v/>
      </c>
    </row>
    <row r="528" spans="1:8">
      <c r="A528" s="25" t="str">
        <f>IF('Clockify Raw'!J528="","",'Clockify Raw'!J528)</f>
        <v/>
      </c>
      <c r="B528" s="23" t="str">
        <f>IF('Clockify Raw'!K528="","",VALUE('Clockify Raw'!K528))</f>
        <v/>
      </c>
      <c r="C528" s="23" t="str">
        <f>IF('Clockify Raw'!M528="","",VALUE('Clockify Raw'!M528))</f>
        <v/>
      </c>
      <c r="D528" t="str">
        <f>IF('Clockify Raw'!A528="","",IF(LOWER('Clockify Raw'!A528)="break","Break","Work"))</f>
        <v/>
      </c>
      <c r="E528" t="str">
        <f>IF('Clockify Raw'!A528="","",IF(LOWER('Clockify Raw'!A528)="break","Break",IF('Clockify Raw'!C528&lt;&gt;"",'Clockify Raw'!C528,IF('Clockify Raw'!D528&lt;&gt;"",'Clockify Raw'!D528,'Clockify Raw'!A528))))</f>
        <v/>
      </c>
      <c r="F528" s="24" t="str">
        <f>IF('Clockify Raw'!O528="","",'Clockify Raw'!O528/24)</f>
        <v/>
      </c>
      <c r="G528" t="str">
        <f>IF(A528="","",COUNTIFS($A$2:$A$1000,A528,$B$2:$B$1000,"&lt;"&amp;B528)+COUNTIFS($A$2:A528,A528,$B$2:B528,B528))</f>
        <v/>
      </c>
      <c r="H528" t="str">
        <f t="shared" si="8"/>
        <v/>
      </c>
    </row>
    <row r="529" spans="1:8">
      <c r="A529" s="25" t="str">
        <f>IF('Clockify Raw'!J529="","",'Clockify Raw'!J529)</f>
        <v/>
      </c>
      <c r="B529" s="23" t="str">
        <f>IF('Clockify Raw'!K529="","",VALUE('Clockify Raw'!K529))</f>
        <v/>
      </c>
      <c r="C529" s="23" t="str">
        <f>IF('Clockify Raw'!M529="","",VALUE('Clockify Raw'!M529))</f>
        <v/>
      </c>
      <c r="D529" t="str">
        <f>IF('Clockify Raw'!A529="","",IF(LOWER('Clockify Raw'!A529)="break","Break","Work"))</f>
        <v/>
      </c>
      <c r="E529" t="str">
        <f>IF('Clockify Raw'!A529="","",IF(LOWER('Clockify Raw'!A529)="break","Break",IF('Clockify Raw'!C529&lt;&gt;"",'Clockify Raw'!C529,IF('Clockify Raw'!D529&lt;&gt;"",'Clockify Raw'!D529,'Clockify Raw'!A529))))</f>
        <v/>
      </c>
      <c r="F529" s="24" t="str">
        <f>IF('Clockify Raw'!O529="","",'Clockify Raw'!O529/24)</f>
        <v/>
      </c>
      <c r="G529" t="str">
        <f>IF(A529="","",COUNTIFS($A$2:$A$1000,A529,$B$2:$B$1000,"&lt;"&amp;B529)+COUNTIFS($A$2:A529,A529,$B$2:B529,B529))</f>
        <v/>
      </c>
      <c r="H529" t="str">
        <f t="shared" si="8"/>
        <v/>
      </c>
    </row>
    <row r="530" spans="1:8">
      <c r="A530" s="25" t="str">
        <f>IF('Clockify Raw'!J530="","",'Clockify Raw'!J530)</f>
        <v/>
      </c>
      <c r="B530" s="23" t="str">
        <f>IF('Clockify Raw'!K530="","",VALUE('Clockify Raw'!K530))</f>
        <v/>
      </c>
      <c r="C530" s="23" t="str">
        <f>IF('Clockify Raw'!M530="","",VALUE('Clockify Raw'!M530))</f>
        <v/>
      </c>
      <c r="D530" t="str">
        <f>IF('Clockify Raw'!A530="","",IF(LOWER('Clockify Raw'!A530)="break","Break","Work"))</f>
        <v/>
      </c>
      <c r="E530" t="str">
        <f>IF('Clockify Raw'!A530="","",IF(LOWER('Clockify Raw'!A530)="break","Break",IF('Clockify Raw'!C530&lt;&gt;"",'Clockify Raw'!C530,IF('Clockify Raw'!D530&lt;&gt;"",'Clockify Raw'!D530,'Clockify Raw'!A530))))</f>
        <v/>
      </c>
      <c r="F530" s="24" t="str">
        <f>IF('Clockify Raw'!O530="","",'Clockify Raw'!O530/24)</f>
        <v/>
      </c>
      <c r="G530" t="str">
        <f>IF(A530="","",COUNTIFS($A$2:$A$1000,A530,$B$2:$B$1000,"&lt;"&amp;B530)+COUNTIFS($A$2:A530,A530,$B$2:B530,B530))</f>
        <v/>
      </c>
      <c r="H530" t="str">
        <f t="shared" si="8"/>
        <v/>
      </c>
    </row>
    <row r="531" spans="1:8">
      <c r="A531" s="25" t="str">
        <f>IF('Clockify Raw'!J531="","",'Clockify Raw'!J531)</f>
        <v/>
      </c>
      <c r="B531" s="23" t="str">
        <f>IF('Clockify Raw'!K531="","",VALUE('Clockify Raw'!K531))</f>
        <v/>
      </c>
      <c r="C531" s="23" t="str">
        <f>IF('Clockify Raw'!M531="","",VALUE('Clockify Raw'!M531))</f>
        <v/>
      </c>
      <c r="D531" t="str">
        <f>IF('Clockify Raw'!A531="","",IF(LOWER('Clockify Raw'!A531)="break","Break","Work"))</f>
        <v/>
      </c>
      <c r="E531" t="str">
        <f>IF('Clockify Raw'!A531="","",IF(LOWER('Clockify Raw'!A531)="break","Break",IF('Clockify Raw'!C531&lt;&gt;"",'Clockify Raw'!C531,IF('Clockify Raw'!D531&lt;&gt;"",'Clockify Raw'!D531,'Clockify Raw'!A531))))</f>
        <v/>
      </c>
      <c r="F531" s="24" t="str">
        <f>IF('Clockify Raw'!O531="","",'Clockify Raw'!O531/24)</f>
        <v/>
      </c>
      <c r="G531" t="str">
        <f>IF(A531="","",COUNTIFS($A$2:$A$1000,A531,$B$2:$B$1000,"&lt;"&amp;B531)+COUNTIFS($A$2:A531,A531,$B$2:B531,B531))</f>
        <v/>
      </c>
      <c r="H531" t="str">
        <f t="shared" si="8"/>
        <v/>
      </c>
    </row>
    <row r="532" spans="1:8">
      <c r="A532" s="25" t="str">
        <f>IF('Clockify Raw'!J532="","",'Clockify Raw'!J532)</f>
        <v/>
      </c>
      <c r="B532" s="23" t="str">
        <f>IF('Clockify Raw'!K532="","",VALUE('Clockify Raw'!K532))</f>
        <v/>
      </c>
      <c r="C532" s="23" t="str">
        <f>IF('Clockify Raw'!M532="","",VALUE('Clockify Raw'!M532))</f>
        <v/>
      </c>
      <c r="D532" t="str">
        <f>IF('Clockify Raw'!A532="","",IF(LOWER('Clockify Raw'!A532)="break","Break","Work"))</f>
        <v/>
      </c>
      <c r="E532" t="str">
        <f>IF('Clockify Raw'!A532="","",IF(LOWER('Clockify Raw'!A532)="break","Break",IF('Clockify Raw'!C532&lt;&gt;"",'Clockify Raw'!C532,IF('Clockify Raw'!D532&lt;&gt;"",'Clockify Raw'!D532,'Clockify Raw'!A532))))</f>
        <v/>
      </c>
      <c r="F532" s="24" t="str">
        <f>IF('Clockify Raw'!O532="","",'Clockify Raw'!O532/24)</f>
        <v/>
      </c>
      <c r="G532" t="str">
        <f>IF(A532="","",COUNTIFS($A$2:$A$1000,A532,$B$2:$B$1000,"&lt;"&amp;B532)+COUNTIFS($A$2:A532,A532,$B$2:B532,B532))</f>
        <v/>
      </c>
      <c r="H532" t="str">
        <f t="shared" si="8"/>
        <v/>
      </c>
    </row>
    <row r="533" spans="1:8">
      <c r="A533" s="25" t="str">
        <f>IF('Clockify Raw'!J533="","",'Clockify Raw'!J533)</f>
        <v/>
      </c>
      <c r="B533" s="23" t="str">
        <f>IF('Clockify Raw'!K533="","",VALUE('Clockify Raw'!K533))</f>
        <v/>
      </c>
      <c r="C533" s="23" t="str">
        <f>IF('Clockify Raw'!M533="","",VALUE('Clockify Raw'!M533))</f>
        <v/>
      </c>
      <c r="D533" t="str">
        <f>IF('Clockify Raw'!A533="","",IF(LOWER('Clockify Raw'!A533)="break","Break","Work"))</f>
        <v/>
      </c>
      <c r="E533" t="str">
        <f>IF('Clockify Raw'!A533="","",IF(LOWER('Clockify Raw'!A533)="break","Break",IF('Clockify Raw'!C533&lt;&gt;"",'Clockify Raw'!C533,IF('Clockify Raw'!D533&lt;&gt;"",'Clockify Raw'!D533,'Clockify Raw'!A533))))</f>
        <v/>
      </c>
      <c r="F533" s="24" t="str">
        <f>IF('Clockify Raw'!O533="","",'Clockify Raw'!O533/24)</f>
        <v/>
      </c>
      <c r="G533" t="str">
        <f>IF(A533="","",COUNTIFS($A$2:$A$1000,A533,$B$2:$B$1000,"&lt;"&amp;B533)+COUNTIFS($A$2:A533,A533,$B$2:B533,B533))</f>
        <v/>
      </c>
      <c r="H533" t="str">
        <f t="shared" si="8"/>
        <v/>
      </c>
    </row>
    <row r="534" spans="1:8">
      <c r="A534" s="25" t="str">
        <f>IF('Clockify Raw'!J534="","",'Clockify Raw'!J534)</f>
        <v/>
      </c>
      <c r="B534" s="23" t="str">
        <f>IF('Clockify Raw'!K534="","",VALUE('Clockify Raw'!K534))</f>
        <v/>
      </c>
      <c r="C534" s="23" t="str">
        <f>IF('Clockify Raw'!M534="","",VALUE('Clockify Raw'!M534))</f>
        <v/>
      </c>
      <c r="D534" t="str">
        <f>IF('Clockify Raw'!A534="","",IF(LOWER('Clockify Raw'!A534)="break","Break","Work"))</f>
        <v/>
      </c>
      <c r="E534" t="str">
        <f>IF('Clockify Raw'!A534="","",IF(LOWER('Clockify Raw'!A534)="break","Break",IF('Clockify Raw'!C534&lt;&gt;"",'Clockify Raw'!C534,IF('Clockify Raw'!D534&lt;&gt;"",'Clockify Raw'!D534,'Clockify Raw'!A534))))</f>
        <v/>
      </c>
      <c r="F534" s="24" t="str">
        <f>IF('Clockify Raw'!O534="","",'Clockify Raw'!O534/24)</f>
        <v/>
      </c>
      <c r="G534" t="str">
        <f>IF(A534="","",COUNTIFS($A$2:$A$1000,A534,$B$2:$B$1000,"&lt;"&amp;B534)+COUNTIFS($A$2:A534,A534,$B$2:B534,B534))</f>
        <v/>
      </c>
      <c r="H534" t="str">
        <f t="shared" si="8"/>
        <v/>
      </c>
    </row>
    <row r="535" spans="1:8">
      <c r="A535" s="25" t="str">
        <f>IF('Clockify Raw'!J535="","",'Clockify Raw'!J535)</f>
        <v/>
      </c>
      <c r="B535" s="23" t="str">
        <f>IF('Clockify Raw'!K535="","",VALUE('Clockify Raw'!K535))</f>
        <v/>
      </c>
      <c r="C535" s="23" t="str">
        <f>IF('Clockify Raw'!M535="","",VALUE('Clockify Raw'!M535))</f>
        <v/>
      </c>
      <c r="D535" t="str">
        <f>IF('Clockify Raw'!A535="","",IF(LOWER('Clockify Raw'!A535)="break","Break","Work"))</f>
        <v/>
      </c>
      <c r="E535" t="str">
        <f>IF('Clockify Raw'!A535="","",IF(LOWER('Clockify Raw'!A535)="break","Break",IF('Clockify Raw'!C535&lt;&gt;"",'Clockify Raw'!C535,IF('Clockify Raw'!D535&lt;&gt;"",'Clockify Raw'!D535,'Clockify Raw'!A535))))</f>
        <v/>
      </c>
      <c r="F535" s="24" t="str">
        <f>IF('Clockify Raw'!O535="","",'Clockify Raw'!O535/24)</f>
        <v/>
      </c>
      <c r="G535" t="str">
        <f>IF(A535="","",COUNTIFS($A$2:$A$1000,A535,$B$2:$B$1000,"&lt;"&amp;B535)+COUNTIFS($A$2:A535,A535,$B$2:B535,B535))</f>
        <v/>
      </c>
      <c r="H535" t="str">
        <f t="shared" si="8"/>
        <v/>
      </c>
    </row>
    <row r="536" spans="1:8">
      <c r="A536" s="25" t="str">
        <f>IF('Clockify Raw'!J536="","",'Clockify Raw'!J536)</f>
        <v/>
      </c>
      <c r="B536" s="23" t="str">
        <f>IF('Clockify Raw'!K536="","",VALUE('Clockify Raw'!K536))</f>
        <v/>
      </c>
      <c r="C536" s="23" t="str">
        <f>IF('Clockify Raw'!M536="","",VALUE('Clockify Raw'!M536))</f>
        <v/>
      </c>
      <c r="D536" t="str">
        <f>IF('Clockify Raw'!A536="","",IF(LOWER('Clockify Raw'!A536)="break","Break","Work"))</f>
        <v/>
      </c>
      <c r="E536" t="str">
        <f>IF('Clockify Raw'!A536="","",IF(LOWER('Clockify Raw'!A536)="break","Break",IF('Clockify Raw'!C536&lt;&gt;"",'Clockify Raw'!C536,IF('Clockify Raw'!D536&lt;&gt;"",'Clockify Raw'!D536,'Clockify Raw'!A536))))</f>
        <v/>
      </c>
      <c r="F536" s="24" t="str">
        <f>IF('Clockify Raw'!O536="","",'Clockify Raw'!O536/24)</f>
        <v/>
      </c>
      <c r="G536" t="str">
        <f>IF(A536="","",COUNTIFS($A$2:$A$1000,A536,$B$2:$B$1000,"&lt;"&amp;B536)+COUNTIFS($A$2:A536,A536,$B$2:B536,B536))</f>
        <v/>
      </c>
      <c r="H536" t="str">
        <f t="shared" si="8"/>
        <v/>
      </c>
    </row>
    <row r="537" spans="1:8">
      <c r="A537" s="25" t="str">
        <f>IF('Clockify Raw'!J537="","",'Clockify Raw'!J537)</f>
        <v/>
      </c>
      <c r="B537" s="23" t="str">
        <f>IF('Clockify Raw'!K537="","",VALUE('Clockify Raw'!K537))</f>
        <v/>
      </c>
      <c r="C537" s="23" t="str">
        <f>IF('Clockify Raw'!M537="","",VALUE('Clockify Raw'!M537))</f>
        <v/>
      </c>
      <c r="D537" t="str">
        <f>IF('Clockify Raw'!A537="","",IF(LOWER('Clockify Raw'!A537)="break","Break","Work"))</f>
        <v/>
      </c>
      <c r="E537" t="str">
        <f>IF('Clockify Raw'!A537="","",IF(LOWER('Clockify Raw'!A537)="break","Break",IF('Clockify Raw'!C537&lt;&gt;"",'Clockify Raw'!C537,IF('Clockify Raw'!D537&lt;&gt;"",'Clockify Raw'!D537,'Clockify Raw'!A537))))</f>
        <v/>
      </c>
      <c r="F537" s="24" t="str">
        <f>IF('Clockify Raw'!O537="","",'Clockify Raw'!O537/24)</f>
        <v/>
      </c>
      <c r="G537" t="str">
        <f>IF(A537="","",COUNTIFS($A$2:$A$1000,A537,$B$2:$B$1000,"&lt;"&amp;B537)+COUNTIFS($A$2:A537,A537,$B$2:B537,B537))</f>
        <v/>
      </c>
      <c r="H537" t="str">
        <f t="shared" si="8"/>
        <v/>
      </c>
    </row>
    <row r="538" spans="1:8">
      <c r="A538" s="25" t="str">
        <f>IF('Clockify Raw'!J538="","",'Clockify Raw'!J538)</f>
        <v/>
      </c>
      <c r="B538" s="23" t="str">
        <f>IF('Clockify Raw'!K538="","",VALUE('Clockify Raw'!K538))</f>
        <v/>
      </c>
      <c r="C538" s="23" t="str">
        <f>IF('Clockify Raw'!M538="","",VALUE('Clockify Raw'!M538))</f>
        <v/>
      </c>
      <c r="D538" t="str">
        <f>IF('Clockify Raw'!A538="","",IF(LOWER('Clockify Raw'!A538)="break","Break","Work"))</f>
        <v/>
      </c>
      <c r="E538" t="str">
        <f>IF('Clockify Raw'!A538="","",IF(LOWER('Clockify Raw'!A538)="break","Break",IF('Clockify Raw'!C538&lt;&gt;"",'Clockify Raw'!C538,IF('Clockify Raw'!D538&lt;&gt;"",'Clockify Raw'!D538,'Clockify Raw'!A538))))</f>
        <v/>
      </c>
      <c r="F538" s="24" t="str">
        <f>IF('Clockify Raw'!O538="","",'Clockify Raw'!O538/24)</f>
        <v/>
      </c>
      <c r="G538" t="str">
        <f>IF(A538="","",COUNTIFS($A$2:$A$1000,A538,$B$2:$B$1000,"&lt;"&amp;B538)+COUNTIFS($A$2:A538,A538,$B$2:B538,B538))</f>
        <v/>
      </c>
      <c r="H538" t="str">
        <f t="shared" si="8"/>
        <v/>
      </c>
    </row>
    <row r="539" spans="1:8">
      <c r="A539" s="25" t="str">
        <f>IF('Clockify Raw'!J539="","",'Clockify Raw'!J539)</f>
        <v/>
      </c>
      <c r="B539" s="23" t="str">
        <f>IF('Clockify Raw'!K539="","",VALUE('Clockify Raw'!K539))</f>
        <v/>
      </c>
      <c r="C539" s="23" t="str">
        <f>IF('Clockify Raw'!M539="","",VALUE('Clockify Raw'!M539))</f>
        <v/>
      </c>
      <c r="D539" t="str">
        <f>IF('Clockify Raw'!A539="","",IF(LOWER('Clockify Raw'!A539)="break","Break","Work"))</f>
        <v/>
      </c>
      <c r="E539" t="str">
        <f>IF('Clockify Raw'!A539="","",IF(LOWER('Clockify Raw'!A539)="break","Break",IF('Clockify Raw'!C539&lt;&gt;"",'Clockify Raw'!C539,IF('Clockify Raw'!D539&lt;&gt;"",'Clockify Raw'!D539,'Clockify Raw'!A539))))</f>
        <v/>
      </c>
      <c r="F539" s="24" t="str">
        <f>IF('Clockify Raw'!O539="","",'Clockify Raw'!O539/24)</f>
        <v/>
      </c>
      <c r="G539" t="str">
        <f>IF(A539="","",COUNTIFS($A$2:$A$1000,A539,$B$2:$B$1000,"&lt;"&amp;B539)+COUNTIFS($A$2:A539,A539,$B$2:B539,B539))</f>
        <v/>
      </c>
      <c r="H539" t="str">
        <f t="shared" si="8"/>
        <v/>
      </c>
    </row>
    <row r="540" spans="1:8">
      <c r="A540" s="25" t="str">
        <f>IF('Clockify Raw'!J540="","",'Clockify Raw'!J540)</f>
        <v/>
      </c>
      <c r="B540" s="23" t="str">
        <f>IF('Clockify Raw'!K540="","",VALUE('Clockify Raw'!K540))</f>
        <v/>
      </c>
      <c r="C540" s="23" t="str">
        <f>IF('Clockify Raw'!M540="","",VALUE('Clockify Raw'!M540))</f>
        <v/>
      </c>
      <c r="D540" t="str">
        <f>IF('Clockify Raw'!A540="","",IF(LOWER('Clockify Raw'!A540)="break","Break","Work"))</f>
        <v/>
      </c>
      <c r="E540" t="str">
        <f>IF('Clockify Raw'!A540="","",IF(LOWER('Clockify Raw'!A540)="break","Break",IF('Clockify Raw'!C540&lt;&gt;"",'Clockify Raw'!C540,IF('Clockify Raw'!D540&lt;&gt;"",'Clockify Raw'!D540,'Clockify Raw'!A540))))</f>
        <v/>
      </c>
      <c r="F540" s="24" t="str">
        <f>IF('Clockify Raw'!O540="","",'Clockify Raw'!O540/24)</f>
        <v/>
      </c>
      <c r="G540" t="str">
        <f>IF(A540="","",COUNTIFS($A$2:$A$1000,A540,$B$2:$B$1000,"&lt;"&amp;B540)+COUNTIFS($A$2:A540,A540,$B$2:B540,B540))</f>
        <v/>
      </c>
      <c r="H540" t="str">
        <f t="shared" si="8"/>
        <v/>
      </c>
    </row>
    <row r="541" spans="1:8">
      <c r="A541" s="25" t="str">
        <f>IF('Clockify Raw'!J541="","",'Clockify Raw'!J541)</f>
        <v/>
      </c>
      <c r="B541" s="23" t="str">
        <f>IF('Clockify Raw'!K541="","",VALUE('Clockify Raw'!K541))</f>
        <v/>
      </c>
      <c r="C541" s="23" t="str">
        <f>IF('Clockify Raw'!M541="","",VALUE('Clockify Raw'!M541))</f>
        <v/>
      </c>
      <c r="D541" t="str">
        <f>IF('Clockify Raw'!A541="","",IF(LOWER('Clockify Raw'!A541)="break","Break","Work"))</f>
        <v/>
      </c>
      <c r="E541" t="str">
        <f>IF('Clockify Raw'!A541="","",IF(LOWER('Clockify Raw'!A541)="break","Break",IF('Clockify Raw'!C541&lt;&gt;"",'Clockify Raw'!C541,IF('Clockify Raw'!D541&lt;&gt;"",'Clockify Raw'!D541,'Clockify Raw'!A541))))</f>
        <v/>
      </c>
      <c r="F541" s="24" t="str">
        <f>IF('Clockify Raw'!O541="","",'Clockify Raw'!O541/24)</f>
        <v/>
      </c>
      <c r="G541" t="str">
        <f>IF(A541="","",COUNTIFS($A$2:$A$1000,A541,$B$2:$B$1000,"&lt;"&amp;B541)+COUNTIFS($A$2:A541,A541,$B$2:B541,B541))</f>
        <v/>
      </c>
      <c r="H541" t="str">
        <f t="shared" si="8"/>
        <v/>
      </c>
    </row>
    <row r="542" spans="1:8">
      <c r="A542" s="25" t="str">
        <f>IF('Clockify Raw'!J542="","",'Clockify Raw'!J542)</f>
        <v/>
      </c>
      <c r="B542" s="23" t="str">
        <f>IF('Clockify Raw'!K542="","",VALUE('Clockify Raw'!K542))</f>
        <v/>
      </c>
      <c r="C542" s="23" t="str">
        <f>IF('Clockify Raw'!M542="","",VALUE('Clockify Raw'!M542))</f>
        <v/>
      </c>
      <c r="D542" t="str">
        <f>IF('Clockify Raw'!A542="","",IF(LOWER('Clockify Raw'!A542)="break","Break","Work"))</f>
        <v/>
      </c>
      <c r="E542" t="str">
        <f>IF('Clockify Raw'!A542="","",IF(LOWER('Clockify Raw'!A542)="break","Break",IF('Clockify Raw'!C542&lt;&gt;"",'Clockify Raw'!C542,IF('Clockify Raw'!D542&lt;&gt;"",'Clockify Raw'!D542,'Clockify Raw'!A542))))</f>
        <v/>
      </c>
      <c r="F542" s="24" t="str">
        <f>IF('Clockify Raw'!O542="","",'Clockify Raw'!O542/24)</f>
        <v/>
      </c>
      <c r="G542" t="str">
        <f>IF(A542="","",COUNTIFS($A$2:$A$1000,A542,$B$2:$B$1000,"&lt;"&amp;B542)+COUNTIFS($A$2:A542,A542,$B$2:B542,B542))</f>
        <v/>
      </c>
      <c r="H542" t="str">
        <f t="shared" si="8"/>
        <v/>
      </c>
    </row>
    <row r="543" spans="1:8">
      <c r="A543" s="25" t="str">
        <f>IF('Clockify Raw'!J543="","",'Clockify Raw'!J543)</f>
        <v/>
      </c>
      <c r="B543" s="23" t="str">
        <f>IF('Clockify Raw'!K543="","",VALUE('Clockify Raw'!K543))</f>
        <v/>
      </c>
      <c r="C543" s="23" t="str">
        <f>IF('Clockify Raw'!M543="","",VALUE('Clockify Raw'!M543))</f>
        <v/>
      </c>
      <c r="D543" t="str">
        <f>IF('Clockify Raw'!A543="","",IF(LOWER('Clockify Raw'!A543)="break","Break","Work"))</f>
        <v/>
      </c>
      <c r="E543" t="str">
        <f>IF('Clockify Raw'!A543="","",IF(LOWER('Clockify Raw'!A543)="break","Break",IF('Clockify Raw'!C543&lt;&gt;"",'Clockify Raw'!C543,IF('Clockify Raw'!D543&lt;&gt;"",'Clockify Raw'!D543,'Clockify Raw'!A543))))</f>
        <v/>
      </c>
      <c r="F543" s="24" t="str">
        <f>IF('Clockify Raw'!O543="","",'Clockify Raw'!O543/24)</f>
        <v/>
      </c>
      <c r="G543" t="str">
        <f>IF(A543="","",COUNTIFS($A$2:$A$1000,A543,$B$2:$B$1000,"&lt;"&amp;B543)+COUNTIFS($A$2:A543,A543,$B$2:B543,B543))</f>
        <v/>
      </c>
      <c r="H543" t="str">
        <f t="shared" si="8"/>
        <v/>
      </c>
    </row>
    <row r="544" spans="1:8">
      <c r="A544" s="25" t="str">
        <f>IF('Clockify Raw'!J544="","",'Clockify Raw'!J544)</f>
        <v/>
      </c>
      <c r="B544" s="23" t="str">
        <f>IF('Clockify Raw'!K544="","",VALUE('Clockify Raw'!K544))</f>
        <v/>
      </c>
      <c r="C544" s="23" t="str">
        <f>IF('Clockify Raw'!M544="","",VALUE('Clockify Raw'!M544))</f>
        <v/>
      </c>
      <c r="D544" t="str">
        <f>IF('Clockify Raw'!A544="","",IF(LOWER('Clockify Raw'!A544)="break","Break","Work"))</f>
        <v/>
      </c>
      <c r="E544" t="str">
        <f>IF('Clockify Raw'!A544="","",IF(LOWER('Clockify Raw'!A544)="break","Break",IF('Clockify Raw'!C544&lt;&gt;"",'Clockify Raw'!C544,IF('Clockify Raw'!D544&lt;&gt;"",'Clockify Raw'!D544,'Clockify Raw'!A544))))</f>
        <v/>
      </c>
      <c r="F544" s="24" t="str">
        <f>IF('Clockify Raw'!O544="","",'Clockify Raw'!O544/24)</f>
        <v/>
      </c>
      <c r="G544" t="str">
        <f>IF(A544="","",COUNTIFS($A$2:$A$1000,A544,$B$2:$B$1000,"&lt;"&amp;B544)+COUNTIFS($A$2:A544,A544,$B$2:B544,B544))</f>
        <v/>
      </c>
      <c r="H544" t="str">
        <f t="shared" si="8"/>
        <v/>
      </c>
    </row>
    <row r="545" spans="1:8">
      <c r="A545" s="25" t="str">
        <f>IF('Clockify Raw'!J545="","",'Clockify Raw'!J545)</f>
        <v/>
      </c>
      <c r="B545" s="23" t="str">
        <f>IF('Clockify Raw'!K545="","",VALUE('Clockify Raw'!K545))</f>
        <v/>
      </c>
      <c r="C545" s="23" t="str">
        <f>IF('Clockify Raw'!M545="","",VALUE('Clockify Raw'!M545))</f>
        <v/>
      </c>
      <c r="D545" t="str">
        <f>IF('Clockify Raw'!A545="","",IF(LOWER('Clockify Raw'!A545)="break","Break","Work"))</f>
        <v/>
      </c>
      <c r="E545" t="str">
        <f>IF('Clockify Raw'!A545="","",IF(LOWER('Clockify Raw'!A545)="break","Break",IF('Clockify Raw'!C545&lt;&gt;"",'Clockify Raw'!C545,IF('Clockify Raw'!D545&lt;&gt;"",'Clockify Raw'!D545,'Clockify Raw'!A545))))</f>
        <v/>
      </c>
      <c r="F545" s="24" t="str">
        <f>IF('Clockify Raw'!O545="","",'Clockify Raw'!O545/24)</f>
        <v/>
      </c>
      <c r="G545" t="str">
        <f>IF(A545="","",COUNTIFS($A$2:$A$1000,A545,$B$2:$B$1000,"&lt;"&amp;B545)+COUNTIFS($A$2:A545,A545,$B$2:B545,B545))</f>
        <v/>
      </c>
      <c r="H545" t="str">
        <f t="shared" si="8"/>
        <v/>
      </c>
    </row>
    <row r="546" spans="1:8">
      <c r="A546" s="25" t="str">
        <f>IF('Clockify Raw'!J546="","",'Clockify Raw'!J546)</f>
        <v/>
      </c>
      <c r="B546" s="23" t="str">
        <f>IF('Clockify Raw'!K546="","",VALUE('Clockify Raw'!K546))</f>
        <v/>
      </c>
      <c r="C546" s="23" t="str">
        <f>IF('Clockify Raw'!M546="","",VALUE('Clockify Raw'!M546))</f>
        <v/>
      </c>
      <c r="D546" t="str">
        <f>IF('Clockify Raw'!A546="","",IF(LOWER('Clockify Raw'!A546)="break","Break","Work"))</f>
        <v/>
      </c>
      <c r="E546" t="str">
        <f>IF('Clockify Raw'!A546="","",IF(LOWER('Clockify Raw'!A546)="break","Break",IF('Clockify Raw'!C546&lt;&gt;"",'Clockify Raw'!C546,IF('Clockify Raw'!D546&lt;&gt;"",'Clockify Raw'!D546,'Clockify Raw'!A546))))</f>
        <v/>
      </c>
      <c r="F546" s="24" t="str">
        <f>IF('Clockify Raw'!O546="","",'Clockify Raw'!O546/24)</f>
        <v/>
      </c>
      <c r="G546" t="str">
        <f>IF(A546="","",COUNTIFS($A$2:$A$1000,A546,$B$2:$B$1000,"&lt;"&amp;B546)+COUNTIFS($A$2:A546,A546,$B$2:B546,B546))</f>
        <v/>
      </c>
      <c r="H546" t="str">
        <f t="shared" si="8"/>
        <v/>
      </c>
    </row>
    <row r="547" spans="1:8">
      <c r="A547" s="25" t="str">
        <f>IF('Clockify Raw'!J547="","",'Clockify Raw'!J547)</f>
        <v/>
      </c>
      <c r="B547" s="23" t="str">
        <f>IF('Clockify Raw'!K547="","",VALUE('Clockify Raw'!K547))</f>
        <v/>
      </c>
      <c r="C547" s="23" t="str">
        <f>IF('Clockify Raw'!M547="","",VALUE('Clockify Raw'!M547))</f>
        <v/>
      </c>
      <c r="D547" t="str">
        <f>IF('Clockify Raw'!A547="","",IF(LOWER('Clockify Raw'!A547)="break","Break","Work"))</f>
        <v/>
      </c>
      <c r="E547" t="str">
        <f>IF('Clockify Raw'!A547="","",IF(LOWER('Clockify Raw'!A547)="break","Break",IF('Clockify Raw'!C547&lt;&gt;"",'Clockify Raw'!C547,IF('Clockify Raw'!D547&lt;&gt;"",'Clockify Raw'!D547,'Clockify Raw'!A547))))</f>
        <v/>
      </c>
      <c r="F547" s="24" t="str">
        <f>IF('Clockify Raw'!O547="","",'Clockify Raw'!O547/24)</f>
        <v/>
      </c>
      <c r="G547" t="str">
        <f>IF(A547="","",COUNTIFS($A$2:$A$1000,A547,$B$2:$B$1000,"&lt;"&amp;B547)+COUNTIFS($A$2:A547,A547,$B$2:B547,B547))</f>
        <v/>
      </c>
      <c r="H547" t="str">
        <f t="shared" si="8"/>
        <v/>
      </c>
    </row>
    <row r="548" spans="1:8">
      <c r="A548" s="25" t="str">
        <f>IF('Clockify Raw'!J548="","",'Clockify Raw'!J548)</f>
        <v/>
      </c>
      <c r="B548" s="23" t="str">
        <f>IF('Clockify Raw'!K548="","",VALUE('Clockify Raw'!K548))</f>
        <v/>
      </c>
      <c r="C548" s="23" t="str">
        <f>IF('Clockify Raw'!M548="","",VALUE('Clockify Raw'!M548))</f>
        <v/>
      </c>
      <c r="D548" t="str">
        <f>IF('Clockify Raw'!A548="","",IF(LOWER('Clockify Raw'!A548)="break","Break","Work"))</f>
        <v/>
      </c>
      <c r="E548" t="str">
        <f>IF('Clockify Raw'!A548="","",IF(LOWER('Clockify Raw'!A548)="break","Break",IF('Clockify Raw'!C548&lt;&gt;"",'Clockify Raw'!C548,IF('Clockify Raw'!D548&lt;&gt;"",'Clockify Raw'!D548,'Clockify Raw'!A548))))</f>
        <v/>
      </c>
      <c r="F548" s="24" t="str">
        <f>IF('Clockify Raw'!O548="","",'Clockify Raw'!O548/24)</f>
        <v/>
      </c>
      <c r="G548" t="str">
        <f>IF(A548="","",COUNTIFS($A$2:$A$1000,A548,$B$2:$B$1000,"&lt;"&amp;B548)+COUNTIFS($A$2:A548,A548,$B$2:B548,B548))</f>
        <v/>
      </c>
      <c r="H548" t="str">
        <f t="shared" si="8"/>
        <v/>
      </c>
    </row>
    <row r="549" spans="1:8">
      <c r="A549" s="25" t="str">
        <f>IF('Clockify Raw'!J549="","",'Clockify Raw'!J549)</f>
        <v/>
      </c>
      <c r="B549" s="23" t="str">
        <f>IF('Clockify Raw'!K549="","",VALUE('Clockify Raw'!K549))</f>
        <v/>
      </c>
      <c r="C549" s="23" t="str">
        <f>IF('Clockify Raw'!M549="","",VALUE('Clockify Raw'!M549))</f>
        <v/>
      </c>
      <c r="D549" t="str">
        <f>IF('Clockify Raw'!A549="","",IF(LOWER('Clockify Raw'!A549)="break","Break","Work"))</f>
        <v/>
      </c>
      <c r="E549" t="str">
        <f>IF('Clockify Raw'!A549="","",IF(LOWER('Clockify Raw'!A549)="break","Break",IF('Clockify Raw'!C549&lt;&gt;"",'Clockify Raw'!C549,IF('Clockify Raw'!D549&lt;&gt;"",'Clockify Raw'!D549,'Clockify Raw'!A549))))</f>
        <v/>
      </c>
      <c r="F549" s="24" t="str">
        <f>IF('Clockify Raw'!O549="","",'Clockify Raw'!O549/24)</f>
        <v/>
      </c>
      <c r="G549" t="str">
        <f>IF(A549="","",COUNTIFS($A$2:$A$1000,A549,$B$2:$B$1000,"&lt;"&amp;B549)+COUNTIFS($A$2:A549,A549,$B$2:B549,B549))</f>
        <v/>
      </c>
      <c r="H549" t="str">
        <f t="shared" si="8"/>
        <v/>
      </c>
    </row>
    <row r="550" spans="1:8">
      <c r="A550" s="25" t="str">
        <f>IF('Clockify Raw'!J550="","",'Clockify Raw'!J550)</f>
        <v/>
      </c>
      <c r="B550" s="23" t="str">
        <f>IF('Clockify Raw'!K550="","",VALUE('Clockify Raw'!K550))</f>
        <v/>
      </c>
      <c r="C550" s="23" t="str">
        <f>IF('Clockify Raw'!M550="","",VALUE('Clockify Raw'!M550))</f>
        <v/>
      </c>
      <c r="D550" t="str">
        <f>IF('Clockify Raw'!A550="","",IF(LOWER('Clockify Raw'!A550)="break","Break","Work"))</f>
        <v/>
      </c>
      <c r="E550" t="str">
        <f>IF('Clockify Raw'!A550="","",IF(LOWER('Clockify Raw'!A550)="break","Break",IF('Clockify Raw'!C550&lt;&gt;"",'Clockify Raw'!C550,IF('Clockify Raw'!D550&lt;&gt;"",'Clockify Raw'!D550,'Clockify Raw'!A550))))</f>
        <v/>
      </c>
      <c r="F550" s="24" t="str">
        <f>IF('Clockify Raw'!O550="","",'Clockify Raw'!O550/24)</f>
        <v/>
      </c>
      <c r="G550" t="str">
        <f>IF(A550="","",COUNTIFS($A$2:$A$1000,A550,$B$2:$B$1000,"&lt;"&amp;B550)+COUNTIFS($A$2:A550,A550,$B$2:B550,B550))</f>
        <v/>
      </c>
      <c r="H550" t="str">
        <f t="shared" si="8"/>
        <v/>
      </c>
    </row>
    <row r="551" spans="1:8">
      <c r="A551" s="25" t="str">
        <f>IF('Clockify Raw'!J551="","",'Clockify Raw'!J551)</f>
        <v/>
      </c>
      <c r="B551" s="23" t="str">
        <f>IF('Clockify Raw'!K551="","",VALUE('Clockify Raw'!K551))</f>
        <v/>
      </c>
      <c r="C551" s="23" t="str">
        <f>IF('Clockify Raw'!M551="","",VALUE('Clockify Raw'!M551))</f>
        <v/>
      </c>
      <c r="D551" t="str">
        <f>IF('Clockify Raw'!A551="","",IF(LOWER('Clockify Raw'!A551)="break","Break","Work"))</f>
        <v/>
      </c>
      <c r="E551" t="str">
        <f>IF('Clockify Raw'!A551="","",IF(LOWER('Clockify Raw'!A551)="break","Break",IF('Clockify Raw'!C551&lt;&gt;"",'Clockify Raw'!C551,IF('Clockify Raw'!D551&lt;&gt;"",'Clockify Raw'!D551,'Clockify Raw'!A551))))</f>
        <v/>
      </c>
      <c r="F551" s="24" t="str">
        <f>IF('Clockify Raw'!O551="","",'Clockify Raw'!O551/24)</f>
        <v/>
      </c>
      <c r="G551" t="str">
        <f>IF(A551="","",COUNTIFS($A$2:$A$1000,A551,$B$2:$B$1000,"&lt;"&amp;B551)+COUNTIFS($A$2:A551,A551,$B$2:B551,B551))</f>
        <v/>
      </c>
      <c r="H551" t="str">
        <f t="shared" si="8"/>
        <v/>
      </c>
    </row>
    <row r="552" spans="1:8">
      <c r="A552" s="25" t="str">
        <f>IF('Clockify Raw'!J552="","",'Clockify Raw'!J552)</f>
        <v/>
      </c>
      <c r="B552" s="23" t="str">
        <f>IF('Clockify Raw'!K552="","",VALUE('Clockify Raw'!K552))</f>
        <v/>
      </c>
      <c r="C552" s="23" t="str">
        <f>IF('Clockify Raw'!M552="","",VALUE('Clockify Raw'!M552))</f>
        <v/>
      </c>
      <c r="D552" t="str">
        <f>IF('Clockify Raw'!A552="","",IF(LOWER('Clockify Raw'!A552)="break","Break","Work"))</f>
        <v/>
      </c>
      <c r="E552" t="str">
        <f>IF('Clockify Raw'!A552="","",IF(LOWER('Clockify Raw'!A552)="break","Break",IF('Clockify Raw'!C552&lt;&gt;"",'Clockify Raw'!C552,IF('Clockify Raw'!D552&lt;&gt;"",'Clockify Raw'!D552,'Clockify Raw'!A552))))</f>
        <v/>
      </c>
      <c r="F552" s="24" t="str">
        <f>IF('Clockify Raw'!O552="","",'Clockify Raw'!O552/24)</f>
        <v/>
      </c>
      <c r="G552" t="str">
        <f>IF(A552="","",COUNTIFS($A$2:$A$1000,A552,$B$2:$B$1000,"&lt;"&amp;B552)+COUNTIFS($A$2:A552,A552,$B$2:B552,B552))</f>
        <v/>
      </c>
      <c r="H552" t="str">
        <f t="shared" si="8"/>
        <v/>
      </c>
    </row>
    <row r="553" spans="1:8">
      <c r="A553" s="25" t="str">
        <f>IF('Clockify Raw'!J553="","",'Clockify Raw'!J553)</f>
        <v/>
      </c>
      <c r="B553" s="23" t="str">
        <f>IF('Clockify Raw'!K553="","",VALUE('Clockify Raw'!K553))</f>
        <v/>
      </c>
      <c r="C553" s="23" t="str">
        <f>IF('Clockify Raw'!M553="","",VALUE('Clockify Raw'!M553))</f>
        <v/>
      </c>
      <c r="D553" t="str">
        <f>IF('Clockify Raw'!A553="","",IF(LOWER('Clockify Raw'!A553)="break","Break","Work"))</f>
        <v/>
      </c>
      <c r="E553" t="str">
        <f>IF('Clockify Raw'!A553="","",IF(LOWER('Clockify Raw'!A553)="break","Break",IF('Clockify Raw'!C553&lt;&gt;"",'Clockify Raw'!C553,IF('Clockify Raw'!D553&lt;&gt;"",'Clockify Raw'!D553,'Clockify Raw'!A553))))</f>
        <v/>
      </c>
      <c r="F553" s="24" t="str">
        <f>IF('Clockify Raw'!O553="","",'Clockify Raw'!O553/24)</f>
        <v/>
      </c>
      <c r="G553" t="str">
        <f>IF(A553="","",COUNTIFS($A$2:$A$1000,A553,$B$2:$B$1000,"&lt;"&amp;B553)+COUNTIFS($A$2:A553,A553,$B$2:B553,B553))</f>
        <v/>
      </c>
      <c r="H553" t="str">
        <f t="shared" si="8"/>
        <v/>
      </c>
    </row>
    <row r="554" spans="1:8">
      <c r="A554" s="25" t="str">
        <f>IF('Clockify Raw'!J554="","",'Clockify Raw'!J554)</f>
        <v/>
      </c>
      <c r="B554" s="23" t="str">
        <f>IF('Clockify Raw'!K554="","",VALUE('Clockify Raw'!K554))</f>
        <v/>
      </c>
      <c r="C554" s="23" t="str">
        <f>IF('Clockify Raw'!M554="","",VALUE('Clockify Raw'!M554))</f>
        <v/>
      </c>
      <c r="D554" t="str">
        <f>IF('Clockify Raw'!A554="","",IF(LOWER('Clockify Raw'!A554)="break","Break","Work"))</f>
        <v/>
      </c>
      <c r="E554" t="str">
        <f>IF('Clockify Raw'!A554="","",IF(LOWER('Clockify Raw'!A554)="break","Break",IF('Clockify Raw'!C554&lt;&gt;"",'Clockify Raw'!C554,IF('Clockify Raw'!D554&lt;&gt;"",'Clockify Raw'!D554,'Clockify Raw'!A554))))</f>
        <v/>
      </c>
      <c r="F554" s="24" t="str">
        <f>IF('Clockify Raw'!O554="","",'Clockify Raw'!O554/24)</f>
        <v/>
      </c>
      <c r="G554" t="str">
        <f>IF(A554="","",COUNTIFS($A$2:$A$1000,A554,$B$2:$B$1000,"&lt;"&amp;B554)+COUNTIFS($A$2:A554,A554,$B$2:B554,B554))</f>
        <v/>
      </c>
      <c r="H554" t="str">
        <f t="shared" si="8"/>
        <v/>
      </c>
    </row>
    <row r="555" spans="1:8">
      <c r="A555" s="25" t="str">
        <f>IF('Clockify Raw'!J555="","",'Clockify Raw'!J555)</f>
        <v/>
      </c>
      <c r="B555" s="23" t="str">
        <f>IF('Clockify Raw'!K555="","",VALUE('Clockify Raw'!K555))</f>
        <v/>
      </c>
      <c r="C555" s="23" t="str">
        <f>IF('Clockify Raw'!M555="","",VALUE('Clockify Raw'!M555))</f>
        <v/>
      </c>
      <c r="D555" t="str">
        <f>IF('Clockify Raw'!A555="","",IF(LOWER('Clockify Raw'!A555)="break","Break","Work"))</f>
        <v/>
      </c>
      <c r="E555" t="str">
        <f>IF('Clockify Raw'!A555="","",IF(LOWER('Clockify Raw'!A555)="break","Break",IF('Clockify Raw'!C555&lt;&gt;"",'Clockify Raw'!C555,IF('Clockify Raw'!D555&lt;&gt;"",'Clockify Raw'!D555,'Clockify Raw'!A555))))</f>
        <v/>
      </c>
      <c r="F555" s="24" t="str">
        <f>IF('Clockify Raw'!O555="","",'Clockify Raw'!O555/24)</f>
        <v/>
      </c>
      <c r="G555" t="str">
        <f>IF(A555="","",COUNTIFS($A$2:$A$1000,A555,$B$2:$B$1000,"&lt;"&amp;B555)+COUNTIFS($A$2:A555,A555,$B$2:B555,B555))</f>
        <v/>
      </c>
      <c r="H555" t="str">
        <f t="shared" si="8"/>
        <v/>
      </c>
    </row>
    <row r="556" spans="1:8">
      <c r="A556" s="25" t="str">
        <f>IF('Clockify Raw'!J556="","",'Clockify Raw'!J556)</f>
        <v/>
      </c>
      <c r="B556" s="23" t="str">
        <f>IF('Clockify Raw'!K556="","",VALUE('Clockify Raw'!K556))</f>
        <v/>
      </c>
      <c r="C556" s="23" t="str">
        <f>IF('Clockify Raw'!M556="","",VALUE('Clockify Raw'!M556))</f>
        <v/>
      </c>
      <c r="D556" t="str">
        <f>IF('Clockify Raw'!A556="","",IF(LOWER('Clockify Raw'!A556)="break","Break","Work"))</f>
        <v/>
      </c>
      <c r="E556" t="str">
        <f>IF('Clockify Raw'!A556="","",IF(LOWER('Clockify Raw'!A556)="break","Break",IF('Clockify Raw'!C556&lt;&gt;"",'Clockify Raw'!C556,IF('Clockify Raw'!D556&lt;&gt;"",'Clockify Raw'!D556,'Clockify Raw'!A556))))</f>
        <v/>
      </c>
      <c r="F556" s="24" t="str">
        <f>IF('Clockify Raw'!O556="","",'Clockify Raw'!O556/24)</f>
        <v/>
      </c>
      <c r="G556" t="str">
        <f>IF(A556="","",COUNTIFS($A$2:$A$1000,A556,$B$2:$B$1000,"&lt;"&amp;B556)+COUNTIFS($A$2:A556,A556,$B$2:B556,B556))</f>
        <v/>
      </c>
      <c r="H556" t="str">
        <f t="shared" si="8"/>
        <v/>
      </c>
    </row>
    <row r="557" spans="1:8">
      <c r="A557" s="25" t="str">
        <f>IF('Clockify Raw'!J557="","",'Clockify Raw'!J557)</f>
        <v/>
      </c>
      <c r="B557" s="23" t="str">
        <f>IF('Clockify Raw'!K557="","",VALUE('Clockify Raw'!K557))</f>
        <v/>
      </c>
      <c r="C557" s="23" t="str">
        <f>IF('Clockify Raw'!M557="","",VALUE('Clockify Raw'!M557))</f>
        <v/>
      </c>
      <c r="D557" t="str">
        <f>IF('Clockify Raw'!A557="","",IF(LOWER('Clockify Raw'!A557)="break","Break","Work"))</f>
        <v/>
      </c>
      <c r="E557" t="str">
        <f>IF('Clockify Raw'!A557="","",IF(LOWER('Clockify Raw'!A557)="break","Break",IF('Clockify Raw'!C557&lt;&gt;"",'Clockify Raw'!C557,IF('Clockify Raw'!D557&lt;&gt;"",'Clockify Raw'!D557,'Clockify Raw'!A557))))</f>
        <v/>
      </c>
      <c r="F557" s="24" t="str">
        <f>IF('Clockify Raw'!O557="","",'Clockify Raw'!O557/24)</f>
        <v/>
      </c>
      <c r="G557" t="str">
        <f>IF(A557="","",COUNTIFS($A$2:$A$1000,A557,$B$2:$B$1000,"&lt;"&amp;B557)+COUNTIFS($A$2:A557,A557,$B$2:B557,B557))</f>
        <v/>
      </c>
      <c r="H557" t="str">
        <f t="shared" si="8"/>
        <v/>
      </c>
    </row>
    <row r="558" spans="1:8">
      <c r="A558" s="25" t="str">
        <f>IF('Clockify Raw'!J558="","",'Clockify Raw'!J558)</f>
        <v/>
      </c>
      <c r="B558" s="23" t="str">
        <f>IF('Clockify Raw'!K558="","",VALUE('Clockify Raw'!K558))</f>
        <v/>
      </c>
      <c r="C558" s="23" t="str">
        <f>IF('Clockify Raw'!M558="","",VALUE('Clockify Raw'!M558))</f>
        <v/>
      </c>
      <c r="D558" t="str">
        <f>IF('Clockify Raw'!A558="","",IF(LOWER('Clockify Raw'!A558)="break","Break","Work"))</f>
        <v/>
      </c>
      <c r="E558" t="str">
        <f>IF('Clockify Raw'!A558="","",IF(LOWER('Clockify Raw'!A558)="break","Break",IF('Clockify Raw'!C558&lt;&gt;"",'Clockify Raw'!C558,IF('Clockify Raw'!D558&lt;&gt;"",'Clockify Raw'!D558,'Clockify Raw'!A558))))</f>
        <v/>
      </c>
      <c r="F558" s="24" t="str">
        <f>IF('Clockify Raw'!O558="","",'Clockify Raw'!O558/24)</f>
        <v/>
      </c>
      <c r="G558" t="str">
        <f>IF(A558="","",COUNTIFS($A$2:$A$1000,A558,$B$2:$B$1000,"&lt;"&amp;B558)+COUNTIFS($A$2:A558,A558,$B$2:B558,B558))</f>
        <v/>
      </c>
      <c r="H558" t="str">
        <f t="shared" si="8"/>
        <v/>
      </c>
    </row>
    <row r="559" spans="1:8">
      <c r="A559" s="25" t="str">
        <f>IF('Clockify Raw'!J559="","",'Clockify Raw'!J559)</f>
        <v/>
      </c>
      <c r="B559" s="23" t="str">
        <f>IF('Clockify Raw'!K559="","",VALUE('Clockify Raw'!K559))</f>
        <v/>
      </c>
      <c r="C559" s="23" t="str">
        <f>IF('Clockify Raw'!M559="","",VALUE('Clockify Raw'!M559))</f>
        <v/>
      </c>
      <c r="D559" t="str">
        <f>IF('Clockify Raw'!A559="","",IF(LOWER('Clockify Raw'!A559)="break","Break","Work"))</f>
        <v/>
      </c>
      <c r="E559" t="str">
        <f>IF('Clockify Raw'!A559="","",IF(LOWER('Clockify Raw'!A559)="break","Break",IF('Clockify Raw'!C559&lt;&gt;"",'Clockify Raw'!C559,IF('Clockify Raw'!D559&lt;&gt;"",'Clockify Raw'!D559,'Clockify Raw'!A559))))</f>
        <v/>
      </c>
      <c r="F559" s="24" t="str">
        <f>IF('Clockify Raw'!O559="","",'Clockify Raw'!O559/24)</f>
        <v/>
      </c>
      <c r="G559" t="str">
        <f>IF(A559="","",COUNTIFS($A$2:$A$1000,A559,$B$2:$B$1000,"&lt;"&amp;B559)+COUNTIFS($A$2:A559,A559,$B$2:B559,B559))</f>
        <v/>
      </c>
      <c r="H559" t="str">
        <f t="shared" si="8"/>
        <v/>
      </c>
    </row>
    <row r="560" spans="1:8">
      <c r="A560" s="25" t="str">
        <f>IF('Clockify Raw'!J560="","",'Clockify Raw'!J560)</f>
        <v/>
      </c>
      <c r="B560" s="23" t="str">
        <f>IF('Clockify Raw'!K560="","",VALUE('Clockify Raw'!K560))</f>
        <v/>
      </c>
      <c r="C560" s="23" t="str">
        <f>IF('Clockify Raw'!M560="","",VALUE('Clockify Raw'!M560))</f>
        <v/>
      </c>
      <c r="D560" t="str">
        <f>IF('Clockify Raw'!A560="","",IF(LOWER('Clockify Raw'!A560)="break","Break","Work"))</f>
        <v/>
      </c>
      <c r="E560" t="str">
        <f>IF('Clockify Raw'!A560="","",IF(LOWER('Clockify Raw'!A560)="break","Break",IF('Clockify Raw'!C560&lt;&gt;"",'Clockify Raw'!C560,IF('Clockify Raw'!D560&lt;&gt;"",'Clockify Raw'!D560,'Clockify Raw'!A560))))</f>
        <v/>
      </c>
      <c r="F560" s="24" t="str">
        <f>IF('Clockify Raw'!O560="","",'Clockify Raw'!O560/24)</f>
        <v/>
      </c>
      <c r="G560" t="str">
        <f>IF(A560="","",COUNTIFS($A$2:$A$1000,A560,$B$2:$B$1000,"&lt;"&amp;B560)+COUNTIFS($A$2:A560,A560,$B$2:B560,B560))</f>
        <v/>
      </c>
      <c r="H560" t="str">
        <f t="shared" si="8"/>
        <v/>
      </c>
    </row>
    <row r="561" spans="1:8">
      <c r="A561" s="25" t="str">
        <f>IF('Clockify Raw'!J561="","",'Clockify Raw'!J561)</f>
        <v/>
      </c>
      <c r="B561" s="23" t="str">
        <f>IF('Clockify Raw'!K561="","",VALUE('Clockify Raw'!K561))</f>
        <v/>
      </c>
      <c r="C561" s="23" t="str">
        <f>IF('Clockify Raw'!M561="","",VALUE('Clockify Raw'!M561))</f>
        <v/>
      </c>
      <c r="D561" t="str">
        <f>IF('Clockify Raw'!A561="","",IF(LOWER('Clockify Raw'!A561)="break","Break","Work"))</f>
        <v/>
      </c>
      <c r="E561" t="str">
        <f>IF('Clockify Raw'!A561="","",IF(LOWER('Clockify Raw'!A561)="break","Break",IF('Clockify Raw'!C561&lt;&gt;"",'Clockify Raw'!C561,IF('Clockify Raw'!D561&lt;&gt;"",'Clockify Raw'!D561,'Clockify Raw'!A561))))</f>
        <v/>
      </c>
      <c r="F561" s="24" t="str">
        <f>IF('Clockify Raw'!O561="","",'Clockify Raw'!O561/24)</f>
        <v/>
      </c>
      <c r="G561" t="str">
        <f>IF(A561="","",COUNTIFS($A$2:$A$1000,A561,$B$2:$B$1000,"&lt;"&amp;B561)+COUNTIFS($A$2:A561,A561,$B$2:B561,B561))</f>
        <v/>
      </c>
      <c r="H561" t="str">
        <f t="shared" si="8"/>
        <v/>
      </c>
    </row>
    <row r="562" spans="1:8">
      <c r="A562" s="25" t="str">
        <f>IF('Clockify Raw'!J562="","",'Clockify Raw'!J562)</f>
        <v/>
      </c>
      <c r="B562" s="23" t="str">
        <f>IF('Clockify Raw'!K562="","",VALUE('Clockify Raw'!K562))</f>
        <v/>
      </c>
      <c r="C562" s="23" t="str">
        <f>IF('Clockify Raw'!M562="","",VALUE('Clockify Raw'!M562))</f>
        <v/>
      </c>
      <c r="D562" t="str">
        <f>IF('Clockify Raw'!A562="","",IF(LOWER('Clockify Raw'!A562)="break","Break","Work"))</f>
        <v/>
      </c>
      <c r="E562" t="str">
        <f>IF('Clockify Raw'!A562="","",IF(LOWER('Clockify Raw'!A562)="break","Break",IF('Clockify Raw'!C562&lt;&gt;"",'Clockify Raw'!C562,IF('Clockify Raw'!D562&lt;&gt;"",'Clockify Raw'!D562,'Clockify Raw'!A562))))</f>
        <v/>
      </c>
      <c r="F562" s="24" t="str">
        <f>IF('Clockify Raw'!O562="","",'Clockify Raw'!O562/24)</f>
        <v/>
      </c>
      <c r="G562" t="str">
        <f>IF(A562="","",COUNTIFS($A$2:$A$1000,A562,$B$2:$B$1000,"&lt;"&amp;B562)+COUNTIFS($A$2:A562,A562,$B$2:B562,B562))</f>
        <v/>
      </c>
      <c r="H562" t="str">
        <f t="shared" si="8"/>
        <v/>
      </c>
    </row>
    <row r="563" spans="1:8">
      <c r="A563" s="25" t="str">
        <f>IF('Clockify Raw'!J563="","",'Clockify Raw'!J563)</f>
        <v/>
      </c>
      <c r="B563" s="23" t="str">
        <f>IF('Clockify Raw'!K563="","",VALUE('Clockify Raw'!K563))</f>
        <v/>
      </c>
      <c r="C563" s="23" t="str">
        <f>IF('Clockify Raw'!M563="","",VALUE('Clockify Raw'!M563))</f>
        <v/>
      </c>
      <c r="D563" t="str">
        <f>IF('Clockify Raw'!A563="","",IF(LOWER('Clockify Raw'!A563)="break","Break","Work"))</f>
        <v/>
      </c>
      <c r="E563" t="str">
        <f>IF('Clockify Raw'!A563="","",IF(LOWER('Clockify Raw'!A563)="break","Break",IF('Clockify Raw'!C563&lt;&gt;"",'Clockify Raw'!C563,IF('Clockify Raw'!D563&lt;&gt;"",'Clockify Raw'!D563,'Clockify Raw'!A563))))</f>
        <v/>
      </c>
      <c r="F563" s="24" t="str">
        <f>IF('Clockify Raw'!O563="","",'Clockify Raw'!O563/24)</f>
        <v/>
      </c>
      <c r="G563" t="str">
        <f>IF(A563="","",COUNTIFS($A$2:$A$1000,A563,$B$2:$B$1000,"&lt;"&amp;B563)+COUNTIFS($A$2:A563,A563,$B$2:B563,B563))</f>
        <v/>
      </c>
      <c r="H563" t="str">
        <f t="shared" si="8"/>
        <v/>
      </c>
    </row>
    <row r="564" spans="1:8">
      <c r="A564" s="25" t="str">
        <f>IF('Clockify Raw'!J564="","",'Clockify Raw'!J564)</f>
        <v/>
      </c>
      <c r="B564" s="23" t="str">
        <f>IF('Clockify Raw'!K564="","",VALUE('Clockify Raw'!K564))</f>
        <v/>
      </c>
      <c r="C564" s="23" t="str">
        <f>IF('Clockify Raw'!M564="","",VALUE('Clockify Raw'!M564))</f>
        <v/>
      </c>
      <c r="D564" t="str">
        <f>IF('Clockify Raw'!A564="","",IF(LOWER('Clockify Raw'!A564)="break","Break","Work"))</f>
        <v/>
      </c>
      <c r="E564" t="str">
        <f>IF('Clockify Raw'!A564="","",IF(LOWER('Clockify Raw'!A564)="break","Break",IF('Clockify Raw'!C564&lt;&gt;"",'Clockify Raw'!C564,IF('Clockify Raw'!D564&lt;&gt;"",'Clockify Raw'!D564,'Clockify Raw'!A564))))</f>
        <v/>
      </c>
      <c r="F564" s="24" t="str">
        <f>IF('Clockify Raw'!O564="","",'Clockify Raw'!O564/24)</f>
        <v/>
      </c>
      <c r="G564" t="str">
        <f>IF(A564="","",COUNTIFS($A$2:$A$1000,A564,$B$2:$B$1000,"&lt;"&amp;B564)+COUNTIFS($A$2:A564,A564,$B$2:B564,B564))</f>
        <v/>
      </c>
      <c r="H564" t="str">
        <f t="shared" si="8"/>
        <v/>
      </c>
    </row>
    <row r="565" spans="1:8">
      <c r="A565" s="25" t="str">
        <f>IF('Clockify Raw'!J565="","",'Clockify Raw'!J565)</f>
        <v/>
      </c>
      <c r="B565" s="23" t="str">
        <f>IF('Clockify Raw'!K565="","",VALUE('Clockify Raw'!K565))</f>
        <v/>
      </c>
      <c r="C565" s="23" t="str">
        <f>IF('Clockify Raw'!M565="","",VALUE('Clockify Raw'!M565))</f>
        <v/>
      </c>
      <c r="D565" t="str">
        <f>IF('Clockify Raw'!A565="","",IF(LOWER('Clockify Raw'!A565)="break","Break","Work"))</f>
        <v/>
      </c>
      <c r="E565" t="str">
        <f>IF('Clockify Raw'!A565="","",IF(LOWER('Clockify Raw'!A565)="break","Break",IF('Clockify Raw'!C565&lt;&gt;"",'Clockify Raw'!C565,IF('Clockify Raw'!D565&lt;&gt;"",'Clockify Raw'!D565,'Clockify Raw'!A565))))</f>
        <v/>
      </c>
      <c r="F565" s="24" t="str">
        <f>IF('Clockify Raw'!O565="","",'Clockify Raw'!O565/24)</f>
        <v/>
      </c>
      <c r="G565" t="str">
        <f>IF(A565="","",COUNTIFS($A$2:$A$1000,A565,$B$2:$B$1000,"&lt;"&amp;B565)+COUNTIFS($A$2:A565,A565,$B$2:B565,B565))</f>
        <v/>
      </c>
      <c r="H565" t="str">
        <f t="shared" si="8"/>
        <v/>
      </c>
    </row>
    <row r="566" spans="1:8">
      <c r="A566" s="25" t="str">
        <f>IF('Clockify Raw'!J566="","",'Clockify Raw'!J566)</f>
        <v/>
      </c>
      <c r="B566" s="23" t="str">
        <f>IF('Clockify Raw'!K566="","",VALUE('Clockify Raw'!K566))</f>
        <v/>
      </c>
      <c r="C566" s="23" t="str">
        <f>IF('Clockify Raw'!M566="","",VALUE('Clockify Raw'!M566))</f>
        <v/>
      </c>
      <c r="D566" t="str">
        <f>IF('Clockify Raw'!A566="","",IF(LOWER('Clockify Raw'!A566)="break","Break","Work"))</f>
        <v/>
      </c>
      <c r="E566" t="str">
        <f>IF('Clockify Raw'!A566="","",IF(LOWER('Clockify Raw'!A566)="break","Break",IF('Clockify Raw'!C566&lt;&gt;"",'Clockify Raw'!C566,IF('Clockify Raw'!D566&lt;&gt;"",'Clockify Raw'!D566,'Clockify Raw'!A566))))</f>
        <v/>
      </c>
      <c r="F566" s="24" t="str">
        <f>IF('Clockify Raw'!O566="","",'Clockify Raw'!O566/24)</f>
        <v/>
      </c>
      <c r="G566" t="str">
        <f>IF(A566="","",COUNTIFS($A$2:$A$1000,A566,$B$2:$B$1000,"&lt;"&amp;B566)+COUNTIFS($A$2:A566,A566,$B$2:B566,B566))</f>
        <v/>
      </c>
      <c r="H566" t="str">
        <f t="shared" si="8"/>
        <v/>
      </c>
    </row>
    <row r="567" spans="1:8">
      <c r="A567" s="25" t="str">
        <f>IF('Clockify Raw'!J567="","",'Clockify Raw'!J567)</f>
        <v/>
      </c>
      <c r="B567" s="23" t="str">
        <f>IF('Clockify Raw'!K567="","",VALUE('Clockify Raw'!K567))</f>
        <v/>
      </c>
      <c r="C567" s="23" t="str">
        <f>IF('Clockify Raw'!M567="","",VALUE('Clockify Raw'!M567))</f>
        <v/>
      </c>
      <c r="D567" t="str">
        <f>IF('Clockify Raw'!A567="","",IF(LOWER('Clockify Raw'!A567)="break","Break","Work"))</f>
        <v/>
      </c>
      <c r="E567" t="str">
        <f>IF('Clockify Raw'!A567="","",IF(LOWER('Clockify Raw'!A567)="break","Break",IF('Clockify Raw'!C567&lt;&gt;"",'Clockify Raw'!C567,IF('Clockify Raw'!D567&lt;&gt;"",'Clockify Raw'!D567,'Clockify Raw'!A567))))</f>
        <v/>
      </c>
      <c r="F567" s="24" t="str">
        <f>IF('Clockify Raw'!O567="","",'Clockify Raw'!O567/24)</f>
        <v/>
      </c>
      <c r="G567" t="str">
        <f>IF(A567="","",COUNTIFS($A$2:$A$1000,A567,$B$2:$B$1000,"&lt;"&amp;B567)+COUNTIFS($A$2:A567,A567,$B$2:B567,B567))</f>
        <v/>
      </c>
      <c r="H567" t="str">
        <f t="shared" si="8"/>
        <v/>
      </c>
    </row>
    <row r="568" spans="1:8">
      <c r="A568" s="25" t="str">
        <f>IF('Clockify Raw'!J568="","",'Clockify Raw'!J568)</f>
        <v/>
      </c>
      <c r="B568" s="23" t="str">
        <f>IF('Clockify Raw'!K568="","",VALUE('Clockify Raw'!K568))</f>
        <v/>
      </c>
      <c r="C568" s="23" t="str">
        <f>IF('Clockify Raw'!M568="","",VALUE('Clockify Raw'!M568))</f>
        <v/>
      </c>
      <c r="D568" t="str">
        <f>IF('Clockify Raw'!A568="","",IF(LOWER('Clockify Raw'!A568)="break","Break","Work"))</f>
        <v/>
      </c>
      <c r="E568" t="str">
        <f>IF('Clockify Raw'!A568="","",IF(LOWER('Clockify Raw'!A568)="break","Break",IF('Clockify Raw'!C568&lt;&gt;"",'Clockify Raw'!C568,IF('Clockify Raw'!D568&lt;&gt;"",'Clockify Raw'!D568,'Clockify Raw'!A568))))</f>
        <v/>
      </c>
      <c r="F568" s="24" t="str">
        <f>IF('Clockify Raw'!O568="","",'Clockify Raw'!O568/24)</f>
        <v/>
      </c>
      <c r="G568" t="str">
        <f>IF(A568="","",COUNTIFS($A$2:$A$1000,A568,$B$2:$B$1000,"&lt;"&amp;B568)+COUNTIFS($A$2:A568,A568,$B$2:B568,B568))</f>
        <v/>
      </c>
      <c r="H568" t="str">
        <f t="shared" si="8"/>
        <v/>
      </c>
    </row>
    <row r="569" spans="1:8">
      <c r="A569" s="25" t="str">
        <f>IF('Clockify Raw'!J569="","",'Clockify Raw'!J569)</f>
        <v/>
      </c>
      <c r="B569" s="23" t="str">
        <f>IF('Clockify Raw'!K569="","",VALUE('Clockify Raw'!K569))</f>
        <v/>
      </c>
      <c r="C569" s="23" t="str">
        <f>IF('Clockify Raw'!M569="","",VALUE('Clockify Raw'!M569))</f>
        <v/>
      </c>
      <c r="D569" t="str">
        <f>IF('Clockify Raw'!A569="","",IF(LOWER('Clockify Raw'!A569)="break","Break","Work"))</f>
        <v/>
      </c>
      <c r="E569" t="str">
        <f>IF('Clockify Raw'!A569="","",IF(LOWER('Clockify Raw'!A569)="break","Break",IF('Clockify Raw'!C569&lt;&gt;"",'Clockify Raw'!C569,IF('Clockify Raw'!D569&lt;&gt;"",'Clockify Raw'!D569,'Clockify Raw'!A569))))</f>
        <v/>
      </c>
      <c r="F569" s="24" t="str">
        <f>IF('Clockify Raw'!O569="","",'Clockify Raw'!O569/24)</f>
        <v/>
      </c>
      <c r="G569" t="str">
        <f>IF(A569="","",COUNTIFS($A$2:$A$1000,A569,$B$2:$B$1000,"&lt;"&amp;B569)+COUNTIFS($A$2:A569,A569,$B$2:B569,B569))</f>
        <v/>
      </c>
      <c r="H569" t="str">
        <f t="shared" si="8"/>
        <v/>
      </c>
    </row>
    <row r="570" spans="1:8">
      <c r="A570" s="25" t="str">
        <f>IF('Clockify Raw'!J570="","",'Clockify Raw'!J570)</f>
        <v/>
      </c>
      <c r="B570" s="23" t="str">
        <f>IF('Clockify Raw'!K570="","",VALUE('Clockify Raw'!K570))</f>
        <v/>
      </c>
      <c r="C570" s="23" t="str">
        <f>IF('Clockify Raw'!M570="","",VALUE('Clockify Raw'!M570))</f>
        <v/>
      </c>
      <c r="D570" t="str">
        <f>IF('Clockify Raw'!A570="","",IF(LOWER('Clockify Raw'!A570)="break","Break","Work"))</f>
        <v/>
      </c>
      <c r="E570" t="str">
        <f>IF('Clockify Raw'!A570="","",IF(LOWER('Clockify Raw'!A570)="break","Break",IF('Clockify Raw'!C570&lt;&gt;"",'Clockify Raw'!C570,IF('Clockify Raw'!D570&lt;&gt;"",'Clockify Raw'!D570,'Clockify Raw'!A570))))</f>
        <v/>
      </c>
      <c r="F570" s="24" t="str">
        <f>IF('Clockify Raw'!O570="","",'Clockify Raw'!O570/24)</f>
        <v/>
      </c>
      <c r="G570" t="str">
        <f>IF(A570="","",COUNTIFS($A$2:$A$1000,A570,$B$2:$B$1000,"&lt;"&amp;B570)+COUNTIFS($A$2:A570,A570,$B$2:B570,B570))</f>
        <v/>
      </c>
      <c r="H570" t="str">
        <f t="shared" si="8"/>
        <v/>
      </c>
    </row>
    <row r="571" spans="1:8">
      <c r="A571" s="25" t="str">
        <f>IF('Clockify Raw'!J571="","",'Clockify Raw'!J571)</f>
        <v/>
      </c>
      <c r="B571" s="23" t="str">
        <f>IF('Clockify Raw'!K571="","",VALUE('Clockify Raw'!K571))</f>
        <v/>
      </c>
      <c r="C571" s="23" t="str">
        <f>IF('Clockify Raw'!M571="","",VALUE('Clockify Raw'!M571))</f>
        <v/>
      </c>
      <c r="D571" t="str">
        <f>IF('Clockify Raw'!A571="","",IF(LOWER('Clockify Raw'!A571)="break","Break","Work"))</f>
        <v/>
      </c>
      <c r="E571" t="str">
        <f>IF('Clockify Raw'!A571="","",IF(LOWER('Clockify Raw'!A571)="break","Break",IF('Clockify Raw'!C571&lt;&gt;"",'Clockify Raw'!C571,IF('Clockify Raw'!D571&lt;&gt;"",'Clockify Raw'!D571,'Clockify Raw'!A571))))</f>
        <v/>
      </c>
      <c r="F571" s="24" t="str">
        <f>IF('Clockify Raw'!O571="","",'Clockify Raw'!O571/24)</f>
        <v/>
      </c>
      <c r="G571" t="str">
        <f>IF(A571="","",COUNTIFS($A$2:$A$1000,A571,$B$2:$B$1000,"&lt;"&amp;B571)+COUNTIFS($A$2:A571,A571,$B$2:B571,B571))</f>
        <v/>
      </c>
      <c r="H571" t="str">
        <f t="shared" si="8"/>
        <v/>
      </c>
    </row>
    <row r="572" spans="1:8">
      <c r="A572" s="25" t="str">
        <f>IF('Clockify Raw'!J572="","",'Clockify Raw'!J572)</f>
        <v/>
      </c>
      <c r="B572" s="23" t="str">
        <f>IF('Clockify Raw'!K572="","",VALUE('Clockify Raw'!K572))</f>
        <v/>
      </c>
      <c r="C572" s="23" t="str">
        <f>IF('Clockify Raw'!M572="","",VALUE('Clockify Raw'!M572))</f>
        <v/>
      </c>
      <c r="D572" t="str">
        <f>IF('Clockify Raw'!A572="","",IF(LOWER('Clockify Raw'!A572)="break","Break","Work"))</f>
        <v/>
      </c>
      <c r="E572" t="str">
        <f>IF('Clockify Raw'!A572="","",IF(LOWER('Clockify Raw'!A572)="break","Break",IF('Clockify Raw'!C572&lt;&gt;"",'Clockify Raw'!C572,IF('Clockify Raw'!D572&lt;&gt;"",'Clockify Raw'!D572,'Clockify Raw'!A572))))</f>
        <v/>
      </c>
      <c r="F572" s="24" t="str">
        <f>IF('Clockify Raw'!O572="","",'Clockify Raw'!O572/24)</f>
        <v/>
      </c>
      <c r="G572" t="str">
        <f>IF(A572="","",COUNTIFS($A$2:$A$1000,A572,$B$2:$B$1000,"&lt;"&amp;B572)+COUNTIFS($A$2:A572,A572,$B$2:B572,B572))</f>
        <v/>
      </c>
      <c r="H572" t="str">
        <f t="shared" si="8"/>
        <v/>
      </c>
    </row>
    <row r="573" spans="1:8">
      <c r="A573" s="25" t="str">
        <f>IF('Clockify Raw'!J573="","",'Clockify Raw'!J573)</f>
        <v/>
      </c>
      <c r="B573" s="23" t="str">
        <f>IF('Clockify Raw'!K573="","",VALUE('Clockify Raw'!K573))</f>
        <v/>
      </c>
      <c r="C573" s="23" t="str">
        <f>IF('Clockify Raw'!M573="","",VALUE('Clockify Raw'!M573))</f>
        <v/>
      </c>
      <c r="D573" t="str">
        <f>IF('Clockify Raw'!A573="","",IF(LOWER('Clockify Raw'!A573)="break","Break","Work"))</f>
        <v/>
      </c>
      <c r="E573" t="str">
        <f>IF('Clockify Raw'!A573="","",IF(LOWER('Clockify Raw'!A573)="break","Break",IF('Clockify Raw'!C573&lt;&gt;"",'Clockify Raw'!C573,IF('Clockify Raw'!D573&lt;&gt;"",'Clockify Raw'!D573,'Clockify Raw'!A573))))</f>
        <v/>
      </c>
      <c r="F573" s="24" t="str">
        <f>IF('Clockify Raw'!O573="","",'Clockify Raw'!O573/24)</f>
        <v/>
      </c>
      <c r="G573" t="str">
        <f>IF(A573="","",COUNTIFS($A$2:$A$1000,A573,$B$2:$B$1000,"&lt;"&amp;B573)+COUNTIFS($A$2:A573,A573,$B$2:B573,B573))</f>
        <v/>
      </c>
      <c r="H573" t="str">
        <f t="shared" si="8"/>
        <v/>
      </c>
    </row>
    <row r="574" spans="1:8">
      <c r="A574" s="25" t="str">
        <f>IF('Clockify Raw'!J574="","",'Clockify Raw'!J574)</f>
        <v/>
      </c>
      <c r="B574" s="23" t="str">
        <f>IF('Clockify Raw'!K574="","",VALUE('Clockify Raw'!K574))</f>
        <v/>
      </c>
      <c r="C574" s="23" t="str">
        <f>IF('Clockify Raw'!M574="","",VALUE('Clockify Raw'!M574))</f>
        <v/>
      </c>
      <c r="D574" t="str">
        <f>IF('Clockify Raw'!A574="","",IF(LOWER('Clockify Raw'!A574)="break","Break","Work"))</f>
        <v/>
      </c>
      <c r="E574" t="str">
        <f>IF('Clockify Raw'!A574="","",IF(LOWER('Clockify Raw'!A574)="break","Break",IF('Clockify Raw'!C574&lt;&gt;"",'Clockify Raw'!C574,IF('Clockify Raw'!D574&lt;&gt;"",'Clockify Raw'!D574,'Clockify Raw'!A574))))</f>
        <v/>
      </c>
      <c r="F574" s="24" t="str">
        <f>IF('Clockify Raw'!O574="","",'Clockify Raw'!O574/24)</f>
        <v/>
      </c>
      <c r="G574" t="str">
        <f>IF(A574="","",COUNTIFS($A$2:$A$1000,A574,$B$2:$B$1000,"&lt;"&amp;B574)+COUNTIFS($A$2:A574,A574,$B$2:B574,B574))</f>
        <v/>
      </c>
      <c r="H574" t="str">
        <f t="shared" si="8"/>
        <v/>
      </c>
    </row>
    <row r="575" spans="1:8">
      <c r="A575" s="25" t="str">
        <f>IF('Clockify Raw'!J575="","",'Clockify Raw'!J575)</f>
        <v/>
      </c>
      <c r="B575" s="23" t="str">
        <f>IF('Clockify Raw'!K575="","",VALUE('Clockify Raw'!K575))</f>
        <v/>
      </c>
      <c r="C575" s="23" t="str">
        <f>IF('Clockify Raw'!M575="","",VALUE('Clockify Raw'!M575))</f>
        <v/>
      </c>
      <c r="D575" t="str">
        <f>IF('Clockify Raw'!A575="","",IF(LOWER('Clockify Raw'!A575)="break","Break","Work"))</f>
        <v/>
      </c>
      <c r="E575" t="str">
        <f>IF('Clockify Raw'!A575="","",IF(LOWER('Clockify Raw'!A575)="break","Break",IF('Clockify Raw'!C575&lt;&gt;"",'Clockify Raw'!C575,IF('Clockify Raw'!D575&lt;&gt;"",'Clockify Raw'!D575,'Clockify Raw'!A575))))</f>
        <v/>
      </c>
      <c r="F575" s="24" t="str">
        <f>IF('Clockify Raw'!O575="","",'Clockify Raw'!O575/24)</f>
        <v/>
      </c>
      <c r="G575" t="str">
        <f>IF(A575="","",COUNTIFS($A$2:$A$1000,A575,$B$2:$B$1000,"&lt;"&amp;B575)+COUNTIFS($A$2:A575,A575,$B$2:B575,B575))</f>
        <v/>
      </c>
      <c r="H575" t="str">
        <f t="shared" si="8"/>
        <v/>
      </c>
    </row>
    <row r="576" spans="1:8">
      <c r="A576" s="25" t="str">
        <f>IF('Clockify Raw'!J576="","",'Clockify Raw'!J576)</f>
        <v/>
      </c>
      <c r="B576" s="23" t="str">
        <f>IF('Clockify Raw'!K576="","",VALUE('Clockify Raw'!K576))</f>
        <v/>
      </c>
      <c r="C576" s="23" t="str">
        <f>IF('Clockify Raw'!M576="","",VALUE('Clockify Raw'!M576))</f>
        <v/>
      </c>
      <c r="D576" t="str">
        <f>IF('Clockify Raw'!A576="","",IF(LOWER('Clockify Raw'!A576)="break","Break","Work"))</f>
        <v/>
      </c>
      <c r="E576" t="str">
        <f>IF('Clockify Raw'!A576="","",IF(LOWER('Clockify Raw'!A576)="break","Break",IF('Clockify Raw'!C576&lt;&gt;"",'Clockify Raw'!C576,IF('Clockify Raw'!D576&lt;&gt;"",'Clockify Raw'!D576,'Clockify Raw'!A576))))</f>
        <v/>
      </c>
      <c r="F576" s="24" t="str">
        <f>IF('Clockify Raw'!O576="","",'Clockify Raw'!O576/24)</f>
        <v/>
      </c>
      <c r="G576" t="str">
        <f>IF(A576="","",COUNTIFS($A$2:$A$1000,A576,$B$2:$B$1000,"&lt;"&amp;B576)+COUNTIFS($A$2:A576,A576,$B$2:B576,B576))</f>
        <v/>
      </c>
      <c r="H576" t="str">
        <f t="shared" si="8"/>
        <v/>
      </c>
    </row>
    <row r="577" spans="1:8">
      <c r="A577" s="25" t="str">
        <f>IF('Clockify Raw'!J577="","",'Clockify Raw'!J577)</f>
        <v/>
      </c>
      <c r="B577" s="23" t="str">
        <f>IF('Clockify Raw'!K577="","",VALUE('Clockify Raw'!K577))</f>
        <v/>
      </c>
      <c r="C577" s="23" t="str">
        <f>IF('Clockify Raw'!M577="","",VALUE('Clockify Raw'!M577))</f>
        <v/>
      </c>
      <c r="D577" t="str">
        <f>IF('Clockify Raw'!A577="","",IF(LOWER('Clockify Raw'!A577)="break","Break","Work"))</f>
        <v/>
      </c>
      <c r="E577" t="str">
        <f>IF('Clockify Raw'!A577="","",IF(LOWER('Clockify Raw'!A577)="break","Break",IF('Clockify Raw'!C577&lt;&gt;"",'Clockify Raw'!C577,IF('Clockify Raw'!D577&lt;&gt;"",'Clockify Raw'!D577,'Clockify Raw'!A577))))</f>
        <v/>
      </c>
      <c r="F577" s="24" t="str">
        <f>IF('Clockify Raw'!O577="","",'Clockify Raw'!O577/24)</f>
        <v/>
      </c>
      <c r="G577" t="str">
        <f>IF(A577="","",COUNTIFS($A$2:$A$1000,A577,$B$2:$B$1000,"&lt;"&amp;B577)+COUNTIFS($A$2:A577,A577,$B$2:B577,B577))</f>
        <v/>
      </c>
      <c r="H577" t="str">
        <f t="shared" si="8"/>
        <v/>
      </c>
    </row>
    <row r="578" spans="1:8">
      <c r="A578" s="25" t="str">
        <f>IF('Clockify Raw'!J578="","",'Clockify Raw'!J578)</f>
        <v/>
      </c>
      <c r="B578" s="23" t="str">
        <f>IF('Clockify Raw'!K578="","",VALUE('Clockify Raw'!K578))</f>
        <v/>
      </c>
      <c r="C578" s="23" t="str">
        <f>IF('Clockify Raw'!M578="","",VALUE('Clockify Raw'!M578))</f>
        <v/>
      </c>
      <c r="D578" t="str">
        <f>IF('Clockify Raw'!A578="","",IF(LOWER('Clockify Raw'!A578)="break","Break","Work"))</f>
        <v/>
      </c>
      <c r="E578" t="str">
        <f>IF('Clockify Raw'!A578="","",IF(LOWER('Clockify Raw'!A578)="break","Break",IF('Clockify Raw'!C578&lt;&gt;"",'Clockify Raw'!C578,IF('Clockify Raw'!D578&lt;&gt;"",'Clockify Raw'!D578,'Clockify Raw'!A578))))</f>
        <v/>
      </c>
      <c r="F578" s="24" t="str">
        <f>IF('Clockify Raw'!O578="","",'Clockify Raw'!O578/24)</f>
        <v/>
      </c>
      <c r="G578" t="str">
        <f>IF(A578="","",COUNTIFS($A$2:$A$1000,A578,$B$2:$B$1000,"&lt;"&amp;B578)+COUNTIFS($A$2:A578,A578,$B$2:B578,B578))</f>
        <v/>
      </c>
      <c r="H578" t="str">
        <f t="shared" ref="H578:H641" si="9">IF(A578="","",TEXT(A578,"yyyymmdd")&amp;"|"&amp;G578)</f>
        <v/>
      </c>
    </row>
    <row r="579" spans="1:8">
      <c r="A579" s="25" t="str">
        <f>IF('Clockify Raw'!J579="","",'Clockify Raw'!J579)</f>
        <v/>
      </c>
      <c r="B579" s="23" t="str">
        <f>IF('Clockify Raw'!K579="","",VALUE('Clockify Raw'!K579))</f>
        <v/>
      </c>
      <c r="C579" s="23" t="str">
        <f>IF('Clockify Raw'!M579="","",VALUE('Clockify Raw'!M579))</f>
        <v/>
      </c>
      <c r="D579" t="str">
        <f>IF('Clockify Raw'!A579="","",IF(LOWER('Clockify Raw'!A579)="break","Break","Work"))</f>
        <v/>
      </c>
      <c r="E579" t="str">
        <f>IF('Clockify Raw'!A579="","",IF(LOWER('Clockify Raw'!A579)="break","Break",IF('Clockify Raw'!C579&lt;&gt;"",'Clockify Raw'!C579,IF('Clockify Raw'!D579&lt;&gt;"",'Clockify Raw'!D579,'Clockify Raw'!A579))))</f>
        <v/>
      </c>
      <c r="F579" s="24" t="str">
        <f>IF('Clockify Raw'!O579="","",'Clockify Raw'!O579/24)</f>
        <v/>
      </c>
      <c r="G579" t="str">
        <f>IF(A579="","",COUNTIFS($A$2:$A$1000,A579,$B$2:$B$1000,"&lt;"&amp;B579)+COUNTIFS($A$2:A579,A579,$B$2:B579,B579))</f>
        <v/>
      </c>
      <c r="H579" t="str">
        <f t="shared" si="9"/>
        <v/>
      </c>
    </row>
    <row r="580" spans="1:8">
      <c r="A580" s="25" t="str">
        <f>IF('Clockify Raw'!J580="","",'Clockify Raw'!J580)</f>
        <v/>
      </c>
      <c r="B580" s="23" t="str">
        <f>IF('Clockify Raw'!K580="","",VALUE('Clockify Raw'!K580))</f>
        <v/>
      </c>
      <c r="C580" s="23" t="str">
        <f>IF('Clockify Raw'!M580="","",VALUE('Clockify Raw'!M580))</f>
        <v/>
      </c>
      <c r="D580" t="str">
        <f>IF('Clockify Raw'!A580="","",IF(LOWER('Clockify Raw'!A580)="break","Break","Work"))</f>
        <v/>
      </c>
      <c r="E580" t="str">
        <f>IF('Clockify Raw'!A580="","",IF(LOWER('Clockify Raw'!A580)="break","Break",IF('Clockify Raw'!C580&lt;&gt;"",'Clockify Raw'!C580,IF('Clockify Raw'!D580&lt;&gt;"",'Clockify Raw'!D580,'Clockify Raw'!A580))))</f>
        <v/>
      </c>
      <c r="F580" s="24" t="str">
        <f>IF('Clockify Raw'!O580="","",'Clockify Raw'!O580/24)</f>
        <v/>
      </c>
      <c r="G580" t="str">
        <f>IF(A580="","",COUNTIFS($A$2:$A$1000,A580,$B$2:$B$1000,"&lt;"&amp;B580)+COUNTIFS($A$2:A580,A580,$B$2:B580,B580))</f>
        <v/>
      </c>
      <c r="H580" t="str">
        <f t="shared" si="9"/>
        <v/>
      </c>
    </row>
    <row r="581" spans="1:8">
      <c r="A581" s="25" t="str">
        <f>IF('Clockify Raw'!J581="","",'Clockify Raw'!J581)</f>
        <v/>
      </c>
      <c r="B581" s="23" t="str">
        <f>IF('Clockify Raw'!K581="","",VALUE('Clockify Raw'!K581))</f>
        <v/>
      </c>
      <c r="C581" s="23" t="str">
        <f>IF('Clockify Raw'!M581="","",VALUE('Clockify Raw'!M581))</f>
        <v/>
      </c>
      <c r="D581" t="str">
        <f>IF('Clockify Raw'!A581="","",IF(LOWER('Clockify Raw'!A581)="break","Break","Work"))</f>
        <v/>
      </c>
      <c r="E581" t="str">
        <f>IF('Clockify Raw'!A581="","",IF(LOWER('Clockify Raw'!A581)="break","Break",IF('Clockify Raw'!C581&lt;&gt;"",'Clockify Raw'!C581,IF('Clockify Raw'!D581&lt;&gt;"",'Clockify Raw'!D581,'Clockify Raw'!A581))))</f>
        <v/>
      </c>
      <c r="F581" s="24" t="str">
        <f>IF('Clockify Raw'!O581="","",'Clockify Raw'!O581/24)</f>
        <v/>
      </c>
      <c r="G581" t="str">
        <f>IF(A581="","",COUNTIFS($A$2:$A$1000,A581,$B$2:$B$1000,"&lt;"&amp;B581)+COUNTIFS($A$2:A581,A581,$B$2:B581,B581))</f>
        <v/>
      </c>
      <c r="H581" t="str">
        <f t="shared" si="9"/>
        <v/>
      </c>
    </row>
    <row r="582" spans="1:8">
      <c r="A582" s="25" t="str">
        <f>IF('Clockify Raw'!J582="","",'Clockify Raw'!J582)</f>
        <v/>
      </c>
      <c r="B582" s="23" t="str">
        <f>IF('Clockify Raw'!K582="","",VALUE('Clockify Raw'!K582))</f>
        <v/>
      </c>
      <c r="C582" s="23" t="str">
        <f>IF('Clockify Raw'!M582="","",VALUE('Clockify Raw'!M582))</f>
        <v/>
      </c>
      <c r="D582" t="str">
        <f>IF('Clockify Raw'!A582="","",IF(LOWER('Clockify Raw'!A582)="break","Break","Work"))</f>
        <v/>
      </c>
      <c r="E582" t="str">
        <f>IF('Clockify Raw'!A582="","",IF(LOWER('Clockify Raw'!A582)="break","Break",IF('Clockify Raw'!C582&lt;&gt;"",'Clockify Raw'!C582,IF('Clockify Raw'!D582&lt;&gt;"",'Clockify Raw'!D582,'Clockify Raw'!A582))))</f>
        <v/>
      </c>
      <c r="F582" s="24" t="str">
        <f>IF('Clockify Raw'!O582="","",'Clockify Raw'!O582/24)</f>
        <v/>
      </c>
      <c r="G582" t="str">
        <f>IF(A582="","",COUNTIFS($A$2:$A$1000,A582,$B$2:$B$1000,"&lt;"&amp;B582)+COUNTIFS($A$2:A582,A582,$B$2:B582,B582))</f>
        <v/>
      </c>
      <c r="H582" t="str">
        <f t="shared" si="9"/>
        <v/>
      </c>
    </row>
    <row r="583" spans="1:8">
      <c r="A583" s="25" t="str">
        <f>IF('Clockify Raw'!J583="","",'Clockify Raw'!J583)</f>
        <v/>
      </c>
      <c r="B583" s="23" t="str">
        <f>IF('Clockify Raw'!K583="","",VALUE('Clockify Raw'!K583))</f>
        <v/>
      </c>
      <c r="C583" s="23" t="str">
        <f>IF('Clockify Raw'!M583="","",VALUE('Clockify Raw'!M583))</f>
        <v/>
      </c>
      <c r="D583" t="str">
        <f>IF('Clockify Raw'!A583="","",IF(LOWER('Clockify Raw'!A583)="break","Break","Work"))</f>
        <v/>
      </c>
      <c r="E583" t="str">
        <f>IF('Clockify Raw'!A583="","",IF(LOWER('Clockify Raw'!A583)="break","Break",IF('Clockify Raw'!C583&lt;&gt;"",'Clockify Raw'!C583,IF('Clockify Raw'!D583&lt;&gt;"",'Clockify Raw'!D583,'Clockify Raw'!A583))))</f>
        <v/>
      </c>
      <c r="F583" s="24" t="str">
        <f>IF('Clockify Raw'!O583="","",'Clockify Raw'!O583/24)</f>
        <v/>
      </c>
      <c r="G583" t="str">
        <f>IF(A583="","",COUNTIFS($A$2:$A$1000,A583,$B$2:$B$1000,"&lt;"&amp;B583)+COUNTIFS($A$2:A583,A583,$B$2:B583,B583))</f>
        <v/>
      </c>
      <c r="H583" t="str">
        <f t="shared" si="9"/>
        <v/>
      </c>
    </row>
    <row r="584" spans="1:8">
      <c r="A584" s="25" t="str">
        <f>IF('Clockify Raw'!J584="","",'Clockify Raw'!J584)</f>
        <v/>
      </c>
      <c r="B584" s="23" t="str">
        <f>IF('Clockify Raw'!K584="","",VALUE('Clockify Raw'!K584))</f>
        <v/>
      </c>
      <c r="C584" s="23" t="str">
        <f>IF('Clockify Raw'!M584="","",VALUE('Clockify Raw'!M584))</f>
        <v/>
      </c>
      <c r="D584" t="str">
        <f>IF('Clockify Raw'!A584="","",IF(LOWER('Clockify Raw'!A584)="break","Break","Work"))</f>
        <v/>
      </c>
      <c r="E584" t="str">
        <f>IF('Clockify Raw'!A584="","",IF(LOWER('Clockify Raw'!A584)="break","Break",IF('Clockify Raw'!C584&lt;&gt;"",'Clockify Raw'!C584,IF('Clockify Raw'!D584&lt;&gt;"",'Clockify Raw'!D584,'Clockify Raw'!A584))))</f>
        <v/>
      </c>
      <c r="F584" s="24" t="str">
        <f>IF('Clockify Raw'!O584="","",'Clockify Raw'!O584/24)</f>
        <v/>
      </c>
      <c r="G584" t="str">
        <f>IF(A584="","",COUNTIFS($A$2:$A$1000,A584,$B$2:$B$1000,"&lt;"&amp;B584)+COUNTIFS($A$2:A584,A584,$B$2:B584,B584))</f>
        <v/>
      </c>
      <c r="H584" t="str">
        <f t="shared" si="9"/>
        <v/>
      </c>
    </row>
    <row r="585" spans="1:8">
      <c r="A585" s="25" t="str">
        <f>IF('Clockify Raw'!J585="","",'Clockify Raw'!J585)</f>
        <v/>
      </c>
      <c r="B585" s="23" t="str">
        <f>IF('Clockify Raw'!K585="","",VALUE('Clockify Raw'!K585))</f>
        <v/>
      </c>
      <c r="C585" s="23" t="str">
        <f>IF('Clockify Raw'!M585="","",VALUE('Clockify Raw'!M585))</f>
        <v/>
      </c>
      <c r="D585" t="str">
        <f>IF('Clockify Raw'!A585="","",IF(LOWER('Clockify Raw'!A585)="break","Break","Work"))</f>
        <v/>
      </c>
      <c r="E585" t="str">
        <f>IF('Clockify Raw'!A585="","",IF(LOWER('Clockify Raw'!A585)="break","Break",IF('Clockify Raw'!C585&lt;&gt;"",'Clockify Raw'!C585,IF('Clockify Raw'!D585&lt;&gt;"",'Clockify Raw'!D585,'Clockify Raw'!A585))))</f>
        <v/>
      </c>
      <c r="F585" s="24" t="str">
        <f>IF('Clockify Raw'!O585="","",'Clockify Raw'!O585/24)</f>
        <v/>
      </c>
      <c r="G585" t="str">
        <f>IF(A585="","",COUNTIFS($A$2:$A$1000,A585,$B$2:$B$1000,"&lt;"&amp;B585)+COUNTIFS($A$2:A585,A585,$B$2:B585,B585))</f>
        <v/>
      </c>
      <c r="H585" t="str">
        <f t="shared" si="9"/>
        <v/>
      </c>
    </row>
    <row r="586" spans="1:8">
      <c r="A586" s="25" t="str">
        <f>IF('Clockify Raw'!J586="","",'Clockify Raw'!J586)</f>
        <v/>
      </c>
      <c r="B586" s="23" t="str">
        <f>IF('Clockify Raw'!K586="","",VALUE('Clockify Raw'!K586))</f>
        <v/>
      </c>
      <c r="C586" s="23" t="str">
        <f>IF('Clockify Raw'!M586="","",VALUE('Clockify Raw'!M586))</f>
        <v/>
      </c>
      <c r="D586" t="str">
        <f>IF('Clockify Raw'!A586="","",IF(LOWER('Clockify Raw'!A586)="break","Break","Work"))</f>
        <v/>
      </c>
      <c r="E586" t="str">
        <f>IF('Clockify Raw'!A586="","",IF(LOWER('Clockify Raw'!A586)="break","Break",IF('Clockify Raw'!C586&lt;&gt;"",'Clockify Raw'!C586,IF('Clockify Raw'!D586&lt;&gt;"",'Clockify Raw'!D586,'Clockify Raw'!A586))))</f>
        <v/>
      </c>
      <c r="F586" s="24" t="str">
        <f>IF('Clockify Raw'!O586="","",'Clockify Raw'!O586/24)</f>
        <v/>
      </c>
      <c r="G586" t="str">
        <f>IF(A586="","",COUNTIFS($A$2:$A$1000,A586,$B$2:$B$1000,"&lt;"&amp;B586)+COUNTIFS($A$2:A586,A586,$B$2:B586,B586))</f>
        <v/>
      </c>
      <c r="H586" t="str">
        <f t="shared" si="9"/>
        <v/>
      </c>
    </row>
    <row r="587" spans="1:8">
      <c r="A587" s="25" t="str">
        <f>IF('Clockify Raw'!J587="","",'Clockify Raw'!J587)</f>
        <v/>
      </c>
      <c r="B587" s="23" t="str">
        <f>IF('Clockify Raw'!K587="","",VALUE('Clockify Raw'!K587))</f>
        <v/>
      </c>
      <c r="C587" s="23" t="str">
        <f>IF('Clockify Raw'!M587="","",VALUE('Clockify Raw'!M587))</f>
        <v/>
      </c>
      <c r="D587" t="str">
        <f>IF('Clockify Raw'!A587="","",IF(LOWER('Clockify Raw'!A587)="break","Break","Work"))</f>
        <v/>
      </c>
      <c r="E587" t="str">
        <f>IF('Clockify Raw'!A587="","",IF(LOWER('Clockify Raw'!A587)="break","Break",IF('Clockify Raw'!C587&lt;&gt;"",'Clockify Raw'!C587,IF('Clockify Raw'!D587&lt;&gt;"",'Clockify Raw'!D587,'Clockify Raw'!A587))))</f>
        <v/>
      </c>
      <c r="F587" s="24" t="str">
        <f>IF('Clockify Raw'!O587="","",'Clockify Raw'!O587/24)</f>
        <v/>
      </c>
      <c r="G587" t="str">
        <f>IF(A587="","",COUNTIFS($A$2:$A$1000,A587,$B$2:$B$1000,"&lt;"&amp;B587)+COUNTIFS($A$2:A587,A587,$B$2:B587,B587))</f>
        <v/>
      </c>
      <c r="H587" t="str">
        <f t="shared" si="9"/>
        <v/>
      </c>
    </row>
    <row r="588" spans="1:8">
      <c r="A588" s="25" t="str">
        <f>IF('Clockify Raw'!J588="","",'Clockify Raw'!J588)</f>
        <v/>
      </c>
      <c r="B588" s="23" t="str">
        <f>IF('Clockify Raw'!K588="","",VALUE('Clockify Raw'!K588))</f>
        <v/>
      </c>
      <c r="C588" s="23" t="str">
        <f>IF('Clockify Raw'!M588="","",VALUE('Clockify Raw'!M588))</f>
        <v/>
      </c>
      <c r="D588" t="str">
        <f>IF('Clockify Raw'!A588="","",IF(LOWER('Clockify Raw'!A588)="break","Break","Work"))</f>
        <v/>
      </c>
      <c r="E588" t="str">
        <f>IF('Clockify Raw'!A588="","",IF(LOWER('Clockify Raw'!A588)="break","Break",IF('Clockify Raw'!C588&lt;&gt;"",'Clockify Raw'!C588,IF('Clockify Raw'!D588&lt;&gt;"",'Clockify Raw'!D588,'Clockify Raw'!A588))))</f>
        <v/>
      </c>
      <c r="F588" s="24" t="str">
        <f>IF('Clockify Raw'!O588="","",'Clockify Raw'!O588/24)</f>
        <v/>
      </c>
      <c r="G588" t="str">
        <f>IF(A588="","",COUNTIFS($A$2:$A$1000,A588,$B$2:$B$1000,"&lt;"&amp;B588)+COUNTIFS($A$2:A588,A588,$B$2:B588,B588))</f>
        <v/>
      </c>
      <c r="H588" t="str">
        <f t="shared" si="9"/>
        <v/>
      </c>
    </row>
    <row r="589" spans="1:8">
      <c r="A589" s="25" t="str">
        <f>IF('Clockify Raw'!J589="","",'Clockify Raw'!J589)</f>
        <v/>
      </c>
      <c r="B589" s="23" t="str">
        <f>IF('Clockify Raw'!K589="","",VALUE('Clockify Raw'!K589))</f>
        <v/>
      </c>
      <c r="C589" s="23" t="str">
        <f>IF('Clockify Raw'!M589="","",VALUE('Clockify Raw'!M589))</f>
        <v/>
      </c>
      <c r="D589" t="str">
        <f>IF('Clockify Raw'!A589="","",IF(LOWER('Clockify Raw'!A589)="break","Break","Work"))</f>
        <v/>
      </c>
      <c r="E589" t="str">
        <f>IF('Clockify Raw'!A589="","",IF(LOWER('Clockify Raw'!A589)="break","Break",IF('Clockify Raw'!C589&lt;&gt;"",'Clockify Raw'!C589,IF('Clockify Raw'!D589&lt;&gt;"",'Clockify Raw'!D589,'Clockify Raw'!A589))))</f>
        <v/>
      </c>
      <c r="F589" s="24" t="str">
        <f>IF('Clockify Raw'!O589="","",'Clockify Raw'!O589/24)</f>
        <v/>
      </c>
      <c r="G589" t="str">
        <f>IF(A589="","",COUNTIFS($A$2:$A$1000,A589,$B$2:$B$1000,"&lt;"&amp;B589)+COUNTIFS($A$2:A589,A589,$B$2:B589,B589))</f>
        <v/>
      </c>
      <c r="H589" t="str">
        <f t="shared" si="9"/>
        <v/>
      </c>
    </row>
    <row r="590" spans="1:8">
      <c r="A590" s="25" t="str">
        <f>IF('Clockify Raw'!J590="","",'Clockify Raw'!J590)</f>
        <v/>
      </c>
      <c r="B590" s="23" t="str">
        <f>IF('Clockify Raw'!K590="","",VALUE('Clockify Raw'!K590))</f>
        <v/>
      </c>
      <c r="C590" s="23" t="str">
        <f>IF('Clockify Raw'!M590="","",VALUE('Clockify Raw'!M590))</f>
        <v/>
      </c>
      <c r="D590" t="str">
        <f>IF('Clockify Raw'!A590="","",IF(LOWER('Clockify Raw'!A590)="break","Break","Work"))</f>
        <v/>
      </c>
      <c r="E590" t="str">
        <f>IF('Clockify Raw'!A590="","",IF(LOWER('Clockify Raw'!A590)="break","Break",IF('Clockify Raw'!C590&lt;&gt;"",'Clockify Raw'!C590,IF('Clockify Raw'!D590&lt;&gt;"",'Clockify Raw'!D590,'Clockify Raw'!A590))))</f>
        <v/>
      </c>
      <c r="F590" s="24" t="str">
        <f>IF('Clockify Raw'!O590="","",'Clockify Raw'!O590/24)</f>
        <v/>
      </c>
      <c r="G590" t="str">
        <f>IF(A590="","",COUNTIFS($A$2:$A$1000,A590,$B$2:$B$1000,"&lt;"&amp;B590)+COUNTIFS($A$2:A590,A590,$B$2:B590,B590))</f>
        <v/>
      </c>
      <c r="H590" t="str">
        <f t="shared" si="9"/>
        <v/>
      </c>
    </row>
    <row r="591" spans="1:8">
      <c r="A591" s="25" t="str">
        <f>IF('Clockify Raw'!J591="","",'Clockify Raw'!J591)</f>
        <v/>
      </c>
      <c r="B591" s="23" t="str">
        <f>IF('Clockify Raw'!K591="","",VALUE('Clockify Raw'!K591))</f>
        <v/>
      </c>
      <c r="C591" s="23" t="str">
        <f>IF('Clockify Raw'!M591="","",VALUE('Clockify Raw'!M591))</f>
        <v/>
      </c>
      <c r="D591" t="str">
        <f>IF('Clockify Raw'!A591="","",IF(LOWER('Clockify Raw'!A591)="break","Break","Work"))</f>
        <v/>
      </c>
      <c r="E591" t="str">
        <f>IF('Clockify Raw'!A591="","",IF(LOWER('Clockify Raw'!A591)="break","Break",IF('Clockify Raw'!C591&lt;&gt;"",'Clockify Raw'!C591,IF('Clockify Raw'!D591&lt;&gt;"",'Clockify Raw'!D591,'Clockify Raw'!A591))))</f>
        <v/>
      </c>
      <c r="F591" s="24" t="str">
        <f>IF('Clockify Raw'!O591="","",'Clockify Raw'!O591/24)</f>
        <v/>
      </c>
      <c r="G591" t="str">
        <f>IF(A591="","",COUNTIFS($A$2:$A$1000,A591,$B$2:$B$1000,"&lt;"&amp;B591)+COUNTIFS($A$2:A591,A591,$B$2:B591,B591))</f>
        <v/>
      </c>
      <c r="H591" t="str">
        <f t="shared" si="9"/>
        <v/>
      </c>
    </row>
    <row r="592" spans="1:8">
      <c r="A592" s="25" t="str">
        <f>IF('Clockify Raw'!J592="","",'Clockify Raw'!J592)</f>
        <v/>
      </c>
      <c r="B592" s="23" t="str">
        <f>IF('Clockify Raw'!K592="","",VALUE('Clockify Raw'!K592))</f>
        <v/>
      </c>
      <c r="C592" s="23" t="str">
        <f>IF('Clockify Raw'!M592="","",VALUE('Clockify Raw'!M592))</f>
        <v/>
      </c>
      <c r="D592" t="str">
        <f>IF('Clockify Raw'!A592="","",IF(LOWER('Clockify Raw'!A592)="break","Break","Work"))</f>
        <v/>
      </c>
      <c r="E592" t="str">
        <f>IF('Clockify Raw'!A592="","",IF(LOWER('Clockify Raw'!A592)="break","Break",IF('Clockify Raw'!C592&lt;&gt;"",'Clockify Raw'!C592,IF('Clockify Raw'!D592&lt;&gt;"",'Clockify Raw'!D592,'Clockify Raw'!A592))))</f>
        <v/>
      </c>
      <c r="F592" s="24" t="str">
        <f>IF('Clockify Raw'!O592="","",'Clockify Raw'!O592/24)</f>
        <v/>
      </c>
      <c r="G592" t="str">
        <f>IF(A592="","",COUNTIFS($A$2:$A$1000,A592,$B$2:$B$1000,"&lt;"&amp;B592)+COUNTIFS($A$2:A592,A592,$B$2:B592,B592))</f>
        <v/>
      </c>
      <c r="H592" t="str">
        <f t="shared" si="9"/>
        <v/>
      </c>
    </row>
    <row r="593" spans="1:8">
      <c r="A593" s="25" t="str">
        <f>IF('Clockify Raw'!J593="","",'Clockify Raw'!J593)</f>
        <v/>
      </c>
      <c r="B593" s="23" t="str">
        <f>IF('Clockify Raw'!K593="","",VALUE('Clockify Raw'!K593))</f>
        <v/>
      </c>
      <c r="C593" s="23" t="str">
        <f>IF('Clockify Raw'!M593="","",VALUE('Clockify Raw'!M593))</f>
        <v/>
      </c>
      <c r="D593" t="str">
        <f>IF('Clockify Raw'!A593="","",IF(LOWER('Clockify Raw'!A593)="break","Break","Work"))</f>
        <v/>
      </c>
      <c r="E593" t="str">
        <f>IF('Clockify Raw'!A593="","",IF(LOWER('Clockify Raw'!A593)="break","Break",IF('Clockify Raw'!C593&lt;&gt;"",'Clockify Raw'!C593,IF('Clockify Raw'!D593&lt;&gt;"",'Clockify Raw'!D593,'Clockify Raw'!A593))))</f>
        <v/>
      </c>
      <c r="F593" s="24" t="str">
        <f>IF('Clockify Raw'!O593="","",'Clockify Raw'!O593/24)</f>
        <v/>
      </c>
      <c r="G593" t="str">
        <f>IF(A593="","",COUNTIFS($A$2:$A$1000,A593,$B$2:$B$1000,"&lt;"&amp;B593)+COUNTIFS($A$2:A593,A593,$B$2:B593,B593))</f>
        <v/>
      </c>
      <c r="H593" t="str">
        <f t="shared" si="9"/>
        <v/>
      </c>
    </row>
    <row r="594" spans="1:8">
      <c r="A594" s="25" t="str">
        <f>IF('Clockify Raw'!J594="","",'Clockify Raw'!J594)</f>
        <v/>
      </c>
      <c r="B594" s="23" t="str">
        <f>IF('Clockify Raw'!K594="","",VALUE('Clockify Raw'!K594))</f>
        <v/>
      </c>
      <c r="C594" s="23" t="str">
        <f>IF('Clockify Raw'!M594="","",VALUE('Clockify Raw'!M594))</f>
        <v/>
      </c>
      <c r="D594" t="str">
        <f>IF('Clockify Raw'!A594="","",IF(LOWER('Clockify Raw'!A594)="break","Break","Work"))</f>
        <v/>
      </c>
      <c r="E594" t="str">
        <f>IF('Clockify Raw'!A594="","",IF(LOWER('Clockify Raw'!A594)="break","Break",IF('Clockify Raw'!C594&lt;&gt;"",'Clockify Raw'!C594,IF('Clockify Raw'!D594&lt;&gt;"",'Clockify Raw'!D594,'Clockify Raw'!A594))))</f>
        <v/>
      </c>
      <c r="F594" s="24" t="str">
        <f>IF('Clockify Raw'!O594="","",'Clockify Raw'!O594/24)</f>
        <v/>
      </c>
      <c r="G594" t="str">
        <f>IF(A594="","",COUNTIFS($A$2:$A$1000,A594,$B$2:$B$1000,"&lt;"&amp;B594)+COUNTIFS($A$2:A594,A594,$B$2:B594,B594))</f>
        <v/>
      </c>
      <c r="H594" t="str">
        <f t="shared" si="9"/>
        <v/>
      </c>
    </row>
    <row r="595" spans="1:8">
      <c r="A595" s="25" t="str">
        <f>IF('Clockify Raw'!J595="","",'Clockify Raw'!J595)</f>
        <v/>
      </c>
      <c r="B595" s="23" t="str">
        <f>IF('Clockify Raw'!K595="","",VALUE('Clockify Raw'!K595))</f>
        <v/>
      </c>
      <c r="C595" s="23" t="str">
        <f>IF('Clockify Raw'!M595="","",VALUE('Clockify Raw'!M595))</f>
        <v/>
      </c>
      <c r="D595" t="str">
        <f>IF('Clockify Raw'!A595="","",IF(LOWER('Clockify Raw'!A595)="break","Break","Work"))</f>
        <v/>
      </c>
      <c r="E595" t="str">
        <f>IF('Clockify Raw'!A595="","",IF(LOWER('Clockify Raw'!A595)="break","Break",IF('Clockify Raw'!C595&lt;&gt;"",'Clockify Raw'!C595,IF('Clockify Raw'!D595&lt;&gt;"",'Clockify Raw'!D595,'Clockify Raw'!A595))))</f>
        <v/>
      </c>
      <c r="F595" s="24" t="str">
        <f>IF('Clockify Raw'!O595="","",'Clockify Raw'!O595/24)</f>
        <v/>
      </c>
      <c r="G595" t="str">
        <f>IF(A595="","",COUNTIFS($A$2:$A$1000,A595,$B$2:$B$1000,"&lt;"&amp;B595)+COUNTIFS($A$2:A595,A595,$B$2:B595,B595))</f>
        <v/>
      </c>
      <c r="H595" t="str">
        <f t="shared" si="9"/>
        <v/>
      </c>
    </row>
    <row r="596" spans="1:8">
      <c r="A596" s="25" t="str">
        <f>IF('Clockify Raw'!J596="","",'Clockify Raw'!J596)</f>
        <v/>
      </c>
      <c r="B596" s="23" t="str">
        <f>IF('Clockify Raw'!K596="","",VALUE('Clockify Raw'!K596))</f>
        <v/>
      </c>
      <c r="C596" s="23" t="str">
        <f>IF('Clockify Raw'!M596="","",VALUE('Clockify Raw'!M596))</f>
        <v/>
      </c>
      <c r="D596" t="str">
        <f>IF('Clockify Raw'!A596="","",IF(LOWER('Clockify Raw'!A596)="break","Break","Work"))</f>
        <v/>
      </c>
      <c r="E596" t="str">
        <f>IF('Clockify Raw'!A596="","",IF(LOWER('Clockify Raw'!A596)="break","Break",IF('Clockify Raw'!C596&lt;&gt;"",'Clockify Raw'!C596,IF('Clockify Raw'!D596&lt;&gt;"",'Clockify Raw'!D596,'Clockify Raw'!A596))))</f>
        <v/>
      </c>
      <c r="F596" s="24" t="str">
        <f>IF('Clockify Raw'!O596="","",'Clockify Raw'!O596/24)</f>
        <v/>
      </c>
      <c r="G596" t="str">
        <f>IF(A596="","",COUNTIFS($A$2:$A$1000,A596,$B$2:$B$1000,"&lt;"&amp;B596)+COUNTIFS($A$2:A596,A596,$B$2:B596,B596))</f>
        <v/>
      </c>
      <c r="H596" t="str">
        <f t="shared" si="9"/>
        <v/>
      </c>
    </row>
    <row r="597" spans="1:8">
      <c r="A597" s="25" t="str">
        <f>IF('Clockify Raw'!J597="","",'Clockify Raw'!J597)</f>
        <v/>
      </c>
      <c r="B597" s="23" t="str">
        <f>IF('Clockify Raw'!K597="","",VALUE('Clockify Raw'!K597))</f>
        <v/>
      </c>
      <c r="C597" s="23" t="str">
        <f>IF('Clockify Raw'!M597="","",VALUE('Clockify Raw'!M597))</f>
        <v/>
      </c>
      <c r="D597" t="str">
        <f>IF('Clockify Raw'!A597="","",IF(LOWER('Clockify Raw'!A597)="break","Break","Work"))</f>
        <v/>
      </c>
      <c r="E597" t="str">
        <f>IF('Clockify Raw'!A597="","",IF(LOWER('Clockify Raw'!A597)="break","Break",IF('Clockify Raw'!C597&lt;&gt;"",'Clockify Raw'!C597,IF('Clockify Raw'!D597&lt;&gt;"",'Clockify Raw'!D597,'Clockify Raw'!A597))))</f>
        <v/>
      </c>
      <c r="F597" s="24" t="str">
        <f>IF('Clockify Raw'!O597="","",'Clockify Raw'!O597/24)</f>
        <v/>
      </c>
      <c r="G597" t="str">
        <f>IF(A597="","",COUNTIFS($A$2:$A$1000,A597,$B$2:$B$1000,"&lt;"&amp;B597)+COUNTIFS($A$2:A597,A597,$B$2:B597,B597))</f>
        <v/>
      </c>
      <c r="H597" t="str">
        <f t="shared" si="9"/>
        <v/>
      </c>
    </row>
    <row r="598" spans="1:8">
      <c r="A598" s="25" t="str">
        <f>IF('Clockify Raw'!J598="","",'Clockify Raw'!J598)</f>
        <v/>
      </c>
      <c r="B598" s="23" t="str">
        <f>IF('Clockify Raw'!K598="","",VALUE('Clockify Raw'!K598))</f>
        <v/>
      </c>
      <c r="C598" s="23" t="str">
        <f>IF('Clockify Raw'!M598="","",VALUE('Clockify Raw'!M598))</f>
        <v/>
      </c>
      <c r="D598" t="str">
        <f>IF('Clockify Raw'!A598="","",IF(LOWER('Clockify Raw'!A598)="break","Break","Work"))</f>
        <v/>
      </c>
      <c r="E598" t="str">
        <f>IF('Clockify Raw'!A598="","",IF(LOWER('Clockify Raw'!A598)="break","Break",IF('Clockify Raw'!C598&lt;&gt;"",'Clockify Raw'!C598,IF('Clockify Raw'!D598&lt;&gt;"",'Clockify Raw'!D598,'Clockify Raw'!A598))))</f>
        <v/>
      </c>
      <c r="F598" s="24" t="str">
        <f>IF('Clockify Raw'!O598="","",'Clockify Raw'!O598/24)</f>
        <v/>
      </c>
      <c r="G598" t="str">
        <f>IF(A598="","",COUNTIFS($A$2:$A$1000,A598,$B$2:$B$1000,"&lt;"&amp;B598)+COUNTIFS($A$2:A598,A598,$B$2:B598,B598))</f>
        <v/>
      </c>
      <c r="H598" t="str">
        <f t="shared" si="9"/>
        <v/>
      </c>
    </row>
    <row r="599" spans="1:8">
      <c r="A599" s="25" t="str">
        <f>IF('Clockify Raw'!J599="","",'Clockify Raw'!J599)</f>
        <v/>
      </c>
      <c r="B599" s="23" t="str">
        <f>IF('Clockify Raw'!K599="","",VALUE('Clockify Raw'!K599))</f>
        <v/>
      </c>
      <c r="C599" s="23" t="str">
        <f>IF('Clockify Raw'!M599="","",VALUE('Clockify Raw'!M599))</f>
        <v/>
      </c>
      <c r="D599" t="str">
        <f>IF('Clockify Raw'!A599="","",IF(LOWER('Clockify Raw'!A599)="break","Break","Work"))</f>
        <v/>
      </c>
      <c r="E599" t="str">
        <f>IF('Clockify Raw'!A599="","",IF(LOWER('Clockify Raw'!A599)="break","Break",IF('Clockify Raw'!C599&lt;&gt;"",'Clockify Raw'!C599,IF('Clockify Raw'!D599&lt;&gt;"",'Clockify Raw'!D599,'Clockify Raw'!A599))))</f>
        <v/>
      </c>
      <c r="F599" s="24" t="str">
        <f>IF('Clockify Raw'!O599="","",'Clockify Raw'!O599/24)</f>
        <v/>
      </c>
      <c r="G599" t="str">
        <f>IF(A599="","",COUNTIFS($A$2:$A$1000,A599,$B$2:$B$1000,"&lt;"&amp;B599)+COUNTIFS($A$2:A599,A599,$B$2:B599,B599))</f>
        <v/>
      </c>
      <c r="H599" t="str">
        <f t="shared" si="9"/>
        <v/>
      </c>
    </row>
    <row r="600" spans="1:8">
      <c r="A600" s="25" t="str">
        <f>IF('Clockify Raw'!J600="","",'Clockify Raw'!J600)</f>
        <v/>
      </c>
      <c r="B600" s="23" t="str">
        <f>IF('Clockify Raw'!K600="","",VALUE('Clockify Raw'!K600))</f>
        <v/>
      </c>
      <c r="C600" s="23" t="str">
        <f>IF('Clockify Raw'!M600="","",VALUE('Clockify Raw'!M600))</f>
        <v/>
      </c>
      <c r="D600" t="str">
        <f>IF('Clockify Raw'!A600="","",IF(LOWER('Clockify Raw'!A600)="break","Break","Work"))</f>
        <v/>
      </c>
      <c r="E600" t="str">
        <f>IF('Clockify Raw'!A600="","",IF(LOWER('Clockify Raw'!A600)="break","Break",IF('Clockify Raw'!C600&lt;&gt;"",'Clockify Raw'!C600,IF('Clockify Raw'!D600&lt;&gt;"",'Clockify Raw'!D600,'Clockify Raw'!A600))))</f>
        <v/>
      </c>
      <c r="F600" s="24" t="str">
        <f>IF('Clockify Raw'!O600="","",'Clockify Raw'!O600/24)</f>
        <v/>
      </c>
      <c r="G600" t="str">
        <f>IF(A600="","",COUNTIFS($A$2:$A$1000,A600,$B$2:$B$1000,"&lt;"&amp;B600)+COUNTIFS($A$2:A600,A600,$B$2:B600,B600))</f>
        <v/>
      </c>
      <c r="H600" t="str">
        <f t="shared" si="9"/>
        <v/>
      </c>
    </row>
    <row r="601" spans="1:8">
      <c r="A601" s="25" t="str">
        <f>IF('Clockify Raw'!J601="","",'Clockify Raw'!J601)</f>
        <v/>
      </c>
      <c r="B601" s="23" t="str">
        <f>IF('Clockify Raw'!K601="","",VALUE('Clockify Raw'!K601))</f>
        <v/>
      </c>
      <c r="C601" s="23" t="str">
        <f>IF('Clockify Raw'!M601="","",VALUE('Clockify Raw'!M601))</f>
        <v/>
      </c>
      <c r="D601" t="str">
        <f>IF('Clockify Raw'!A601="","",IF(LOWER('Clockify Raw'!A601)="break","Break","Work"))</f>
        <v/>
      </c>
      <c r="E601" t="str">
        <f>IF('Clockify Raw'!A601="","",IF(LOWER('Clockify Raw'!A601)="break","Break",IF('Clockify Raw'!C601&lt;&gt;"",'Clockify Raw'!C601,IF('Clockify Raw'!D601&lt;&gt;"",'Clockify Raw'!D601,'Clockify Raw'!A601))))</f>
        <v/>
      </c>
      <c r="F601" s="24" t="str">
        <f>IF('Clockify Raw'!O601="","",'Clockify Raw'!O601/24)</f>
        <v/>
      </c>
      <c r="G601" t="str">
        <f>IF(A601="","",COUNTIFS($A$2:$A$1000,A601,$B$2:$B$1000,"&lt;"&amp;B601)+COUNTIFS($A$2:A601,A601,$B$2:B601,B601))</f>
        <v/>
      </c>
      <c r="H601" t="str">
        <f t="shared" si="9"/>
        <v/>
      </c>
    </row>
    <row r="602" spans="1:8">
      <c r="A602" s="25" t="str">
        <f>IF('Clockify Raw'!J602="","",'Clockify Raw'!J602)</f>
        <v/>
      </c>
      <c r="B602" s="23" t="str">
        <f>IF('Clockify Raw'!K602="","",VALUE('Clockify Raw'!K602))</f>
        <v/>
      </c>
      <c r="C602" s="23" t="str">
        <f>IF('Clockify Raw'!M602="","",VALUE('Clockify Raw'!M602))</f>
        <v/>
      </c>
      <c r="D602" t="str">
        <f>IF('Clockify Raw'!A602="","",IF(LOWER('Clockify Raw'!A602)="break","Break","Work"))</f>
        <v/>
      </c>
      <c r="E602" t="str">
        <f>IF('Clockify Raw'!A602="","",IF(LOWER('Clockify Raw'!A602)="break","Break",IF('Clockify Raw'!C602&lt;&gt;"",'Clockify Raw'!C602,IF('Clockify Raw'!D602&lt;&gt;"",'Clockify Raw'!D602,'Clockify Raw'!A602))))</f>
        <v/>
      </c>
      <c r="F602" s="24" t="str">
        <f>IF('Clockify Raw'!O602="","",'Clockify Raw'!O602/24)</f>
        <v/>
      </c>
      <c r="G602" t="str">
        <f>IF(A602="","",COUNTIFS($A$2:$A$1000,A602,$B$2:$B$1000,"&lt;"&amp;B602)+COUNTIFS($A$2:A602,A602,$B$2:B602,B602))</f>
        <v/>
      </c>
      <c r="H602" t="str">
        <f t="shared" si="9"/>
        <v/>
      </c>
    </row>
    <row r="603" spans="1:8">
      <c r="A603" s="25" t="str">
        <f>IF('Clockify Raw'!J603="","",'Clockify Raw'!J603)</f>
        <v/>
      </c>
      <c r="B603" s="23" t="str">
        <f>IF('Clockify Raw'!K603="","",VALUE('Clockify Raw'!K603))</f>
        <v/>
      </c>
      <c r="C603" s="23" t="str">
        <f>IF('Clockify Raw'!M603="","",VALUE('Clockify Raw'!M603))</f>
        <v/>
      </c>
      <c r="D603" t="str">
        <f>IF('Clockify Raw'!A603="","",IF(LOWER('Clockify Raw'!A603)="break","Break","Work"))</f>
        <v/>
      </c>
      <c r="E603" t="str">
        <f>IF('Clockify Raw'!A603="","",IF(LOWER('Clockify Raw'!A603)="break","Break",IF('Clockify Raw'!C603&lt;&gt;"",'Clockify Raw'!C603,IF('Clockify Raw'!D603&lt;&gt;"",'Clockify Raw'!D603,'Clockify Raw'!A603))))</f>
        <v/>
      </c>
      <c r="F603" s="24" t="str">
        <f>IF('Clockify Raw'!O603="","",'Clockify Raw'!O603/24)</f>
        <v/>
      </c>
      <c r="G603" t="str">
        <f>IF(A603="","",COUNTIFS($A$2:$A$1000,A603,$B$2:$B$1000,"&lt;"&amp;B603)+COUNTIFS($A$2:A603,A603,$B$2:B603,B603))</f>
        <v/>
      </c>
      <c r="H603" t="str">
        <f t="shared" si="9"/>
        <v/>
      </c>
    </row>
    <row r="604" spans="1:8">
      <c r="A604" s="25" t="str">
        <f>IF('Clockify Raw'!J604="","",'Clockify Raw'!J604)</f>
        <v/>
      </c>
      <c r="B604" s="23" t="str">
        <f>IF('Clockify Raw'!K604="","",VALUE('Clockify Raw'!K604))</f>
        <v/>
      </c>
      <c r="C604" s="23" t="str">
        <f>IF('Clockify Raw'!M604="","",VALUE('Clockify Raw'!M604))</f>
        <v/>
      </c>
      <c r="D604" t="str">
        <f>IF('Clockify Raw'!A604="","",IF(LOWER('Clockify Raw'!A604)="break","Break","Work"))</f>
        <v/>
      </c>
      <c r="E604" t="str">
        <f>IF('Clockify Raw'!A604="","",IF(LOWER('Clockify Raw'!A604)="break","Break",IF('Clockify Raw'!C604&lt;&gt;"",'Clockify Raw'!C604,IF('Clockify Raw'!D604&lt;&gt;"",'Clockify Raw'!D604,'Clockify Raw'!A604))))</f>
        <v/>
      </c>
      <c r="F604" s="24" t="str">
        <f>IF('Clockify Raw'!O604="","",'Clockify Raw'!O604/24)</f>
        <v/>
      </c>
      <c r="G604" t="str">
        <f>IF(A604="","",COUNTIFS($A$2:$A$1000,A604,$B$2:$B$1000,"&lt;"&amp;B604)+COUNTIFS($A$2:A604,A604,$B$2:B604,B604))</f>
        <v/>
      </c>
      <c r="H604" t="str">
        <f t="shared" si="9"/>
        <v/>
      </c>
    </row>
    <row r="605" spans="1:8">
      <c r="A605" s="25" t="str">
        <f>IF('Clockify Raw'!J605="","",'Clockify Raw'!J605)</f>
        <v/>
      </c>
      <c r="B605" s="23" t="str">
        <f>IF('Clockify Raw'!K605="","",VALUE('Clockify Raw'!K605))</f>
        <v/>
      </c>
      <c r="C605" s="23" t="str">
        <f>IF('Clockify Raw'!M605="","",VALUE('Clockify Raw'!M605))</f>
        <v/>
      </c>
      <c r="D605" t="str">
        <f>IF('Clockify Raw'!A605="","",IF(LOWER('Clockify Raw'!A605)="break","Break","Work"))</f>
        <v/>
      </c>
      <c r="E605" t="str">
        <f>IF('Clockify Raw'!A605="","",IF(LOWER('Clockify Raw'!A605)="break","Break",IF('Clockify Raw'!C605&lt;&gt;"",'Clockify Raw'!C605,IF('Clockify Raw'!D605&lt;&gt;"",'Clockify Raw'!D605,'Clockify Raw'!A605))))</f>
        <v/>
      </c>
      <c r="F605" s="24" t="str">
        <f>IF('Clockify Raw'!O605="","",'Clockify Raw'!O605/24)</f>
        <v/>
      </c>
      <c r="G605" t="str">
        <f>IF(A605="","",COUNTIFS($A$2:$A$1000,A605,$B$2:$B$1000,"&lt;"&amp;B605)+COUNTIFS($A$2:A605,A605,$B$2:B605,B605))</f>
        <v/>
      </c>
      <c r="H605" t="str">
        <f t="shared" si="9"/>
        <v/>
      </c>
    </row>
    <row r="606" spans="1:8">
      <c r="A606" s="25" t="str">
        <f>IF('Clockify Raw'!J606="","",'Clockify Raw'!J606)</f>
        <v/>
      </c>
      <c r="B606" s="23" t="str">
        <f>IF('Clockify Raw'!K606="","",VALUE('Clockify Raw'!K606))</f>
        <v/>
      </c>
      <c r="C606" s="23" t="str">
        <f>IF('Clockify Raw'!M606="","",VALUE('Clockify Raw'!M606))</f>
        <v/>
      </c>
      <c r="D606" t="str">
        <f>IF('Clockify Raw'!A606="","",IF(LOWER('Clockify Raw'!A606)="break","Break","Work"))</f>
        <v/>
      </c>
      <c r="E606" t="str">
        <f>IF('Clockify Raw'!A606="","",IF(LOWER('Clockify Raw'!A606)="break","Break",IF('Clockify Raw'!C606&lt;&gt;"",'Clockify Raw'!C606,IF('Clockify Raw'!D606&lt;&gt;"",'Clockify Raw'!D606,'Clockify Raw'!A606))))</f>
        <v/>
      </c>
      <c r="F606" s="24" t="str">
        <f>IF('Clockify Raw'!O606="","",'Clockify Raw'!O606/24)</f>
        <v/>
      </c>
      <c r="G606" t="str">
        <f>IF(A606="","",COUNTIFS($A$2:$A$1000,A606,$B$2:$B$1000,"&lt;"&amp;B606)+COUNTIFS($A$2:A606,A606,$B$2:B606,B606))</f>
        <v/>
      </c>
      <c r="H606" t="str">
        <f t="shared" si="9"/>
        <v/>
      </c>
    </row>
    <row r="607" spans="1:8">
      <c r="A607" s="25" t="str">
        <f>IF('Clockify Raw'!J607="","",'Clockify Raw'!J607)</f>
        <v/>
      </c>
      <c r="B607" s="23" t="str">
        <f>IF('Clockify Raw'!K607="","",VALUE('Clockify Raw'!K607))</f>
        <v/>
      </c>
      <c r="C607" s="23" t="str">
        <f>IF('Clockify Raw'!M607="","",VALUE('Clockify Raw'!M607))</f>
        <v/>
      </c>
      <c r="D607" t="str">
        <f>IF('Clockify Raw'!A607="","",IF(LOWER('Clockify Raw'!A607)="break","Break","Work"))</f>
        <v/>
      </c>
      <c r="E607" t="str">
        <f>IF('Clockify Raw'!A607="","",IF(LOWER('Clockify Raw'!A607)="break","Break",IF('Clockify Raw'!C607&lt;&gt;"",'Clockify Raw'!C607,IF('Clockify Raw'!D607&lt;&gt;"",'Clockify Raw'!D607,'Clockify Raw'!A607))))</f>
        <v/>
      </c>
      <c r="F607" s="24" t="str">
        <f>IF('Clockify Raw'!O607="","",'Clockify Raw'!O607/24)</f>
        <v/>
      </c>
      <c r="G607" t="str">
        <f>IF(A607="","",COUNTIFS($A$2:$A$1000,A607,$B$2:$B$1000,"&lt;"&amp;B607)+COUNTIFS($A$2:A607,A607,$B$2:B607,B607))</f>
        <v/>
      </c>
      <c r="H607" t="str">
        <f t="shared" si="9"/>
        <v/>
      </c>
    </row>
    <row r="608" spans="1:8">
      <c r="A608" s="25" t="str">
        <f>IF('Clockify Raw'!J608="","",'Clockify Raw'!J608)</f>
        <v/>
      </c>
      <c r="B608" s="23" t="str">
        <f>IF('Clockify Raw'!K608="","",VALUE('Clockify Raw'!K608))</f>
        <v/>
      </c>
      <c r="C608" s="23" t="str">
        <f>IF('Clockify Raw'!M608="","",VALUE('Clockify Raw'!M608))</f>
        <v/>
      </c>
      <c r="D608" t="str">
        <f>IF('Clockify Raw'!A608="","",IF(LOWER('Clockify Raw'!A608)="break","Break","Work"))</f>
        <v/>
      </c>
      <c r="E608" t="str">
        <f>IF('Clockify Raw'!A608="","",IF(LOWER('Clockify Raw'!A608)="break","Break",IF('Clockify Raw'!C608&lt;&gt;"",'Clockify Raw'!C608,IF('Clockify Raw'!D608&lt;&gt;"",'Clockify Raw'!D608,'Clockify Raw'!A608))))</f>
        <v/>
      </c>
      <c r="F608" s="24" t="str">
        <f>IF('Clockify Raw'!O608="","",'Clockify Raw'!O608/24)</f>
        <v/>
      </c>
      <c r="G608" t="str">
        <f>IF(A608="","",COUNTIFS($A$2:$A$1000,A608,$B$2:$B$1000,"&lt;"&amp;B608)+COUNTIFS($A$2:A608,A608,$B$2:B608,B608))</f>
        <v/>
      </c>
      <c r="H608" t="str">
        <f t="shared" si="9"/>
        <v/>
      </c>
    </row>
    <row r="609" spans="1:8">
      <c r="A609" s="25" t="str">
        <f>IF('Clockify Raw'!J609="","",'Clockify Raw'!J609)</f>
        <v/>
      </c>
      <c r="B609" s="23" t="str">
        <f>IF('Clockify Raw'!K609="","",VALUE('Clockify Raw'!K609))</f>
        <v/>
      </c>
      <c r="C609" s="23" t="str">
        <f>IF('Clockify Raw'!M609="","",VALUE('Clockify Raw'!M609))</f>
        <v/>
      </c>
      <c r="D609" t="str">
        <f>IF('Clockify Raw'!A609="","",IF(LOWER('Clockify Raw'!A609)="break","Break","Work"))</f>
        <v/>
      </c>
      <c r="E609" t="str">
        <f>IF('Clockify Raw'!A609="","",IF(LOWER('Clockify Raw'!A609)="break","Break",IF('Clockify Raw'!C609&lt;&gt;"",'Clockify Raw'!C609,IF('Clockify Raw'!D609&lt;&gt;"",'Clockify Raw'!D609,'Clockify Raw'!A609))))</f>
        <v/>
      </c>
      <c r="F609" s="24" t="str">
        <f>IF('Clockify Raw'!O609="","",'Clockify Raw'!O609/24)</f>
        <v/>
      </c>
      <c r="G609" t="str">
        <f>IF(A609="","",COUNTIFS($A$2:$A$1000,A609,$B$2:$B$1000,"&lt;"&amp;B609)+COUNTIFS($A$2:A609,A609,$B$2:B609,B609))</f>
        <v/>
      </c>
      <c r="H609" t="str">
        <f t="shared" si="9"/>
        <v/>
      </c>
    </row>
    <row r="610" spans="1:8">
      <c r="A610" s="25" t="str">
        <f>IF('Clockify Raw'!J610="","",'Clockify Raw'!J610)</f>
        <v/>
      </c>
      <c r="B610" s="23" t="str">
        <f>IF('Clockify Raw'!K610="","",VALUE('Clockify Raw'!K610))</f>
        <v/>
      </c>
      <c r="C610" s="23" t="str">
        <f>IF('Clockify Raw'!M610="","",VALUE('Clockify Raw'!M610))</f>
        <v/>
      </c>
      <c r="D610" t="str">
        <f>IF('Clockify Raw'!A610="","",IF(LOWER('Clockify Raw'!A610)="break","Break","Work"))</f>
        <v/>
      </c>
      <c r="E610" t="str">
        <f>IF('Clockify Raw'!A610="","",IF(LOWER('Clockify Raw'!A610)="break","Break",IF('Clockify Raw'!C610&lt;&gt;"",'Clockify Raw'!C610,IF('Clockify Raw'!D610&lt;&gt;"",'Clockify Raw'!D610,'Clockify Raw'!A610))))</f>
        <v/>
      </c>
      <c r="F610" s="24" t="str">
        <f>IF('Clockify Raw'!O610="","",'Clockify Raw'!O610/24)</f>
        <v/>
      </c>
      <c r="G610" t="str">
        <f>IF(A610="","",COUNTIFS($A$2:$A$1000,A610,$B$2:$B$1000,"&lt;"&amp;B610)+COUNTIFS($A$2:A610,A610,$B$2:B610,B610))</f>
        <v/>
      </c>
      <c r="H610" t="str">
        <f t="shared" si="9"/>
        <v/>
      </c>
    </row>
    <row r="611" spans="1:8">
      <c r="A611" s="25" t="str">
        <f>IF('Clockify Raw'!J611="","",'Clockify Raw'!J611)</f>
        <v/>
      </c>
      <c r="B611" s="23" t="str">
        <f>IF('Clockify Raw'!K611="","",VALUE('Clockify Raw'!K611))</f>
        <v/>
      </c>
      <c r="C611" s="23" t="str">
        <f>IF('Clockify Raw'!M611="","",VALUE('Clockify Raw'!M611))</f>
        <v/>
      </c>
      <c r="D611" t="str">
        <f>IF('Clockify Raw'!A611="","",IF(LOWER('Clockify Raw'!A611)="break","Break","Work"))</f>
        <v/>
      </c>
      <c r="E611" t="str">
        <f>IF('Clockify Raw'!A611="","",IF(LOWER('Clockify Raw'!A611)="break","Break",IF('Clockify Raw'!C611&lt;&gt;"",'Clockify Raw'!C611,IF('Clockify Raw'!D611&lt;&gt;"",'Clockify Raw'!D611,'Clockify Raw'!A611))))</f>
        <v/>
      </c>
      <c r="F611" s="24" t="str">
        <f>IF('Clockify Raw'!O611="","",'Clockify Raw'!O611/24)</f>
        <v/>
      </c>
      <c r="G611" t="str">
        <f>IF(A611="","",COUNTIFS($A$2:$A$1000,A611,$B$2:$B$1000,"&lt;"&amp;B611)+COUNTIFS($A$2:A611,A611,$B$2:B611,B611))</f>
        <v/>
      </c>
      <c r="H611" t="str">
        <f t="shared" si="9"/>
        <v/>
      </c>
    </row>
    <row r="612" spans="1:8">
      <c r="A612" s="25" t="str">
        <f>IF('Clockify Raw'!J612="","",'Clockify Raw'!J612)</f>
        <v/>
      </c>
      <c r="B612" s="23" t="str">
        <f>IF('Clockify Raw'!K612="","",VALUE('Clockify Raw'!K612))</f>
        <v/>
      </c>
      <c r="C612" s="23" t="str">
        <f>IF('Clockify Raw'!M612="","",VALUE('Clockify Raw'!M612))</f>
        <v/>
      </c>
      <c r="D612" t="str">
        <f>IF('Clockify Raw'!A612="","",IF(LOWER('Clockify Raw'!A612)="break","Break","Work"))</f>
        <v/>
      </c>
      <c r="E612" t="str">
        <f>IF('Clockify Raw'!A612="","",IF(LOWER('Clockify Raw'!A612)="break","Break",IF('Clockify Raw'!C612&lt;&gt;"",'Clockify Raw'!C612,IF('Clockify Raw'!D612&lt;&gt;"",'Clockify Raw'!D612,'Clockify Raw'!A612))))</f>
        <v/>
      </c>
      <c r="F612" s="24" t="str">
        <f>IF('Clockify Raw'!O612="","",'Clockify Raw'!O612/24)</f>
        <v/>
      </c>
      <c r="G612" t="str">
        <f>IF(A612="","",COUNTIFS($A$2:$A$1000,A612,$B$2:$B$1000,"&lt;"&amp;B612)+COUNTIFS($A$2:A612,A612,$B$2:B612,B612))</f>
        <v/>
      </c>
      <c r="H612" t="str">
        <f t="shared" si="9"/>
        <v/>
      </c>
    </row>
    <row r="613" spans="1:8">
      <c r="A613" s="25" t="str">
        <f>IF('Clockify Raw'!J613="","",'Clockify Raw'!J613)</f>
        <v/>
      </c>
      <c r="B613" s="23" t="str">
        <f>IF('Clockify Raw'!K613="","",VALUE('Clockify Raw'!K613))</f>
        <v/>
      </c>
      <c r="C613" s="23" t="str">
        <f>IF('Clockify Raw'!M613="","",VALUE('Clockify Raw'!M613))</f>
        <v/>
      </c>
      <c r="D613" t="str">
        <f>IF('Clockify Raw'!A613="","",IF(LOWER('Clockify Raw'!A613)="break","Break","Work"))</f>
        <v/>
      </c>
      <c r="E613" t="str">
        <f>IF('Clockify Raw'!A613="","",IF(LOWER('Clockify Raw'!A613)="break","Break",IF('Clockify Raw'!C613&lt;&gt;"",'Clockify Raw'!C613,IF('Clockify Raw'!D613&lt;&gt;"",'Clockify Raw'!D613,'Clockify Raw'!A613))))</f>
        <v/>
      </c>
      <c r="F613" s="24" t="str">
        <f>IF('Clockify Raw'!O613="","",'Clockify Raw'!O613/24)</f>
        <v/>
      </c>
      <c r="G613" t="str">
        <f>IF(A613="","",COUNTIFS($A$2:$A$1000,A613,$B$2:$B$1000,"&lt;"&amp;B613)+COUNTIFS($A$2:A613,A613,$B$2:B613,B613))</f>
        <v/>
      </c>
      <c r="H613" t="str">
        <f t="shared" si="9"/>
        <v/>
      </c>
    </row>
    <row r="614" spans="1:8">
      <c r="A614" s="25" t="str">
        <f>IF('Clockify Raw'!J614="","",'Clockify Raw'!J614)</f>
        <v/>
      </c>
      <c r="B614" s="23" t="str">
        <f>IF('Clockify Raw'!K614="","",VALUE('Clockify Raw'!K614))</f>
        <v/>
      </c>
      <c r="C614" s="23" t="str">
        <f>IF('Clockify Raw'!M614="","",VALUE('Clockify Raw'!M614))</f>
        <v/>
      </c>
      <c r="D614" t="str">
        <f>IF('Clockify Raw'!A614="","",IF(LOWER('Clockify Raw'!A614)="break","Break","Work"))</f>
        <v/>
      </c>
      <c r="E614" t="str">
        <f>IF('Clockify Raw'!A614="","",IF(LOWER('Clockify Raw'!A614)="break","Break",IF('Clockify Raw'!C614&lt;&gt;"",'Clockify Raw'!C614,IF('Clockify Raw'!D614&lt;&gt;"",'Clockify Raw'!D614,'Clockify Raw'!A614))))</f>
        <v/>
      </c>
      <c r="F614" s="24" t="str">
        <f>IF('Clockify Raw'!O614="","",'Clockify Raw'!O614/24)</f>
        <v/>
      </c>
      <c r="G614" t="str">
        <f>IF(A614="","",COUNTIFS($A$2:$A$1000,A614,$B$2:$B$1000,"&lt;"&amp;B614)+COUNTIFS($A$2:A614,A614,$B$2:B614,B614))</f>
        <v/>
      </c>
      <c r="H614" t="str">
        <f t="shared" si="9"/>
        <v/>
      </c>
    </row>
    <row r="615" spans="1:8">
      <c r="A615" s="25" t="str">
        <f>IF('Clockify Raw'!J615="","",'Clockify Raw'!J615)</f>
        <v/>
      </c>
      <c r="B615" s="23" t="str">
        <f>IF('Clockify Raw'!K615="","",VALUE('Clockify Raw'!K615))</f>
        <v/>
      </c>
      <c r="C615" s="23" t="str">
        <f>IF('Clockify Raw'!M615="","",VALUE('Clockify Raw'!M615))</f>
        <v/>
      </c>
      <c r="D615" t="str">
        <f>IF('Clockify Raw'!A615="","",IF(LOWER('Clockify Raw'!A615)="break","Break","Work"))</f>
        <v/>
      </c>
      <c r="E615" t="str">
        <f>IF('Clockify Raw'!A615="","",IF(LOWER('Clockify Raw'!A615)="break","Break",IF('Clockify Raw'!C615&lt;&gt;"",'Clockify Raw'!C615,IF('Clockify Raw'!D615&lt;&gt;"",'Clockify Raw'!D615,'Clockify Raw'!A615))))</f>
        <v/>
      </c>
      <c r="F615" s="24" t="str">
        <f>IF('Clockify Raw'!O615="","",'Clockify Raw'!O615/24)</f>
        <v/>
      </c>
      <c r="G615" t="str">
        <f>IF(A615="","",COUNTIFS($A$2:$A$1000,A615,$B$2:$B$1000,"&lt;"&amp;B615)+COUNTIFS($A$2:A615,A615,$B$2:B615,B615))</f>
        <v/>
      </c>
      <c r="H615" t="str">
        <f t="shared" si="9"/>
        <v/>
      </c>
    </row>
    <row r="616" spans="1:8">
      <c r="A616" s="25" t="str">
        <f>IF('Clockify Raw'!J616="","",'Clockify Raw'!J616)</f>
        <v/>
      </c>
      <c r="B616" s="23" t="str">
        <f>IF('Clockify Raw'!K616="","",VALUE('Clockify Raw'!K616))</f>
        <v/>
      </c>
      <c r="C616" s="23" t="str">
        <f>IF('Clockify Raw'!M616="","",VALUE('Clockify Raw'!M616))</f>
        <v/>
      </c>
      <c r="D616" t="str">
        <f>IF('Clockify Raw'!A616="","",IF(LOWER('Clockify Raw'!A616)="break","Break","Work"))</f>
        <v/>
      </c>
      <c r="E616" t="str">
        <f>IF('Clockify Raw'!A616="","",IF(LOWER('Clockify Raw'!A616)="break","Break",IF('Clockify Raw'!C616&lt;&gt;"",'Clockify Raw'!C616,IF('Clockify Raw'!D616&lt;&gt;"",'Clockify Raw'!D616,'Clockify Raw'!A616))))</f>
        <v/>
      </c>
      <c r="F616" s="24" t="str">
        <f>IF('Clockify Raw'!O616="","",'Clockify Raw'!O616/24)</f>
        <v/>
      </c>
      <c r="G616" t="str">
        <f>IF(A616="","",COUNTIFS($A$2:$A$1000,A616,$B$2:$B$1000,"&lt;"&amp;B616)+COUNTIFS($A$2:A616,A616,$B$2:B616,B616))</f>
        <v/>
      </c>
      <c r="H616" t="str">
        <f t="shared" si="9"/>
        <v/>
      </c>
    </row>
    <row r="617" spans="1:8">
      <c r="A617" s="25" t="str">
        <f>IF('Clockify Raw'!J617="","",'Clockify Raw'!J617)</f>
        <v/>
      </c>
      <c r="B617" s="23" t="str">
        <f>IF('Clockify Raw'!K617="","",VALUE('Clockify Raw'!K617))</f>
        <v/>
      </c>
      <c r="C617" s="23" t="str">
        <f>IF('Clockify Raw'!M617="","",VALUE('Clockify Raw'!M617))</f>
        <v/>
      </c>
      <c r="D617" t="str">
        <f>IF('Clockify Raw'!A617="","",IF(LOWER('Clockify Raw'!A617)="break","Break","Work"))</f>
        <v/>
      </c>
      <c r="E617" t="str">
        <f>IF('Clockify Raw'!A617="","",IF(LOWER('Clockify Raw'!A617)="break","Break",IF('Clockify Raw'!C617&lt;&gt;"",'Clockify Raw'!C617,IF('Clockify Raw'!D617&lt;&gt;"",'Clockify Raw'!D617,'Clockify Raw'!A617))))</f>
        <v/>
      </c>
      <c r="F617" s="24" t="str">
        <f>IF('Clockify Raw'!O617="","",'Clockify Raw'!O617/24)</f>
        <v/>
      </c>
      <c r="G617" t="str">
        <f>IF(A617="","",COUNTIFS($A$2:$A$1000,A617,$B$2:$B$1000,"&lt;"&amp;B617)+COUNTIFS($A$2:A617,A617,$B$2:B617,B617))</f>
        <v/>
      </c>
      <c r="H617" t="str">
        <f t="shared" si="9"/>
        <v/>
      </c>
    </row>
    <row r="618" spans="1:8">
      <c r="A618" s="25" t="str">
        <f>IF('Clockify Raw'!J618="","",'Clockify Raw'!J618)</f>
        <v/>
      </c>
      <c r="B618" s="23" t="str">
        <f>IF('Clockify Raw'!K618="","",VALUE('Clockify Raw'!K618))</f>
        <v/>
      </c>
      <c r="C618" s="23" t="str">
        <f>IF('Clockify Raw'!M618="","",VALUE('Clockify Raw'!M618))</f>
        <v/>
      </c>
      <c r="D618" t="str">
        <f>IF('Clockify Raw'!A618="","",IF(LOWER('Clockify Raw'!A618)="break","Break","Work"))</f>
        <v/>
      </c>
      <c r="E618" t="str">
        <f>IF('Clockify Raw'!A618="","",IF(LOWER('Clockify Raw'!A618)="break","Break",IF('Clockify Raw'!C618&lt;&gt;"",'Clockify Raw'!C618,IF('Clockify Raw'!D618&lt;&gt;"",'Clockify Raw'!D618,'Clockify Raw'!A618))))</f>
        <v/>
      </c>
      <c r="F618" s="24" t="str">
        <f>IF('Clockify Raw'!O618="","",'Clockify Raw'!O618/24)</f>
        <v/>
      </c>
      <c r="G618" t="str">
        <f>IF(A618="","",COUNTIFS($A$2:$A$1000,A618,$B$2:$B$1000,"&lt;"&amp;B618)+COUNTIFS($A$2:A618,A618,$B$2:B618,B618))</f>
        <v/>
      </c>
      <c r="H618" t="str">
        <f t="shared" si="9"/>
        <v/>
      </c>
    </row>
    <row r="619" spans="1:8">
      <c r="A619" s="25" t="str">
        <f>IF('Clockify Raw'!J619="","",'Clockify Raw'!J619)</f>
        <v/>
      </c>
      <c r="B619" s="23" t="str">
        <f>IF('Clockify Raw'!K619="","",VALUE('Clockify Raw'!K619))</f>
        <v/>
      </c>
      <c r="C619" s="23" t="str">
        <f>IF('Clockify Raw'!M619="","",VALUE('Clockify Raw'!M619))</f>
        <v/>
      </c>
      <c r="D619" t="str">
        <f>IF('Clockify Raw'!A619="","",IF(LOWER('Clockify Raw'!A619)="break","Break","Work"))</f>
        <v/>
      </c>
      <c r="E619" t="str">
        <f>IF('Clockify Raw'!A619="","",IF(LOWER('Clockify Raw'!A619)="break","Break",IF('Clockify Raw'!C619&lt;&gt;"",'Clockify Raw'!C619,IF('Clockify Raw'!D619&lt;&gt;"",'Clockify Raw'!D619,'Clockify Raw'!A619))))</f>
        <v/>
      </c>
      <c r="F619" s="24" t="str">
        <f>IF('Clockify Raw'!O619="","",'Clockify Raw'!O619/24)</f>
        <v/>
      </c>
      <c r="G619" t="str">
        <f>IF(A619="","",COUNTIFS($A$2:$A$1000,A619,$B$2:$B$1000,"&lt;"&amp;B619)+COUNTIFS($A$2:A619,A619,$B$2:B619,B619))</f>
        <v/>
      </c>
      <c r="H619" t="str">
        <f t="shared" si="9"/>
        <v/>
      </c>
    </row>
    <row r="620" spans="1:8">
      <c r="A620" s="25" t="str">
        <f>IF('Clockify Raw'!J620="","",'Clockify Raw'!J620)</f>
        <v/>
      </c>
      <c r="B620" s="23" t="str">
        <f>IF('Clockify Raw'!K620="","",VALUE('Clockify Raw'!K620))</f>
        <v/>
      </c>
      <c r="C620" s="23" t="str">
        <f>IF('Clockify Raw'!M620="","",VALUE('Clockify Raw'!M620))</f>
        <v/>
      </c>
      <c r="D620" t="str">
        <f>IF('Clockify Raw'!A620="","",IF(LOWER('Clockify Raw'!A620)="break","Break","Work"))</f>
        <v/>
      </c>
      <c r="E620" t="str">
        <f>IF('Clockify Raw'!A620="","",IF(LOWER('Clockify Raw'!A620)="break","Break",IF('Clockify Raw'!C620&lt;&gt;"",'Clockify Raw'!C620,IF('Clockify Raw'!D620&lt;&gt;"",'Clockify Raw'!D620,'Clockify Raw'!A620))))</f>
        <v/>
      </c>
      <c r="F620" s="24" t="str">
        <f>IF('Clockify Raw'!O620="","",'Clockify Raw'!O620/24)</f>
        <v/>
      </c>
      <c r="G620" t="str">
        <f>IF(A620="","",COUNTIFS($A$2:$A$1000,A620,$B$2:$B$1000,"&lt;"&amp;B620)+COUNTIFS($A$2:A620,A620,$B$2:B620,B620))</f>
        <v/>
      </c>
      <c r="H620" t="str">
        <f t="shared" si="9"/>
        <v/>
      </c>
    </row>
    <row r="621" spans="1:8">
      <c r="A621" s="25" t="str">
        <f>IF('Clockify Raw'!J621="","",'Clockify Raw'!J621)</f>
        <v/>
      </c>
      <c r="B621" s="23" t="str">
        <f>IF('Clockify Raw'!K621="","",VALUE('Clockify Raw'!K621))</f>
        <v/>
      </c>
      <c r="C621" s="23" t="str">
        <f>IF('Clockify Raw'!M621="","",VALUE('Clockify Raw'!M621))</f>
        <v/>
      </c>
      <c r="D621" t="str">
        <f>IF('Clockify Raw'!A621="","",IF(LOWER('Clockify Raw'!A621)="break","Break","Work"))</f>
        <v/>
      </c>
      <c r="E621" t="str">
        <f>IF('Clockify Raw'!A621="","",IF(LOWER('Clockify Raw'!A621)="break","Break",IF('Clockify Raw'!C621&lt;&gt;"",'Clockify Raw'!C621,IF('Clockify Raw'!D621&lt;&gt;"",'Clockify Raw'!D621,'Clockify Raw'!A621))))</f>
        <v/>
      </c>
      <c r="F621" s="24" t="str">
        <f>IF('Clockify Raw'!O621="","",'Clockify Raw'!O621/24)</f>
        <v/>
      </c>
      <c r="G621" t="str">
        <f>IF(A621="","",COUNTIFS($A$2:$A$1000,A621,$B$2:$B$1000,"&lt;"&amp;B621)+COUNTIFS($A$2:A621,A621,$B$2:B621,B621))</f>
        <v/>
      </c>
      <c r="H621" t="str">
        <f t="shared" si="9"/>
        <v/>
      </c>
    </row>
    <row r="622" spans="1:8">
      <c r="A622" s="25" t="str">
        <f>IF('Clockify Raw'!J622="","",'Clockify Raw'!J622)</f>
        <v/>
      </c>
      <c r="B622" s="23" t="str">
        <f>IF('Clockify Raw'!K622="","",VALUE('Clockify Raw'!K622))</f>
        <v/>
      </c>
      <c r="C622" s="23" t="str">
        <f>IF('Clockify Raw'!M622="","",VALUE('Clockify Raw'!M622))</f>
        <v/>
      </c>
      <c r="D622" t="str">
        <f>IF('Clockify Raw'!A622="","",IF(LOWER('Clockify Raw'!A622)="break","Break","Work"))</f>
        <v/>
      </c>
      <c r="E622" t="str">
        <f>IF('Clockify Raw'!A622="","",IF(LOWER('Clockify Raw'!A622)="break","Break",IF('Clockify Raw'!C622&lt;&gt;"",'Clockify Raw'!C622,IF('Clockify Raw'!D622&lt;&gt;"",'Clockify Raw'!D622,'Clockify Raw'!A622))))</f>
        <v/>
      </c>
      <c r="F622" s="24" t="str">
        <f>IF('Clockify Raw'!O622="","",'Clockify Raw'!O622/24)</f>
        <v/>
      </c>
      <c r="G622" t="str">
        <f>IF(A622="","",COUNTIFS($A$2:$A$1000,A622,$B$2:$B$1000,"&lt;"&amp;B622)+COUNTIFS($A$2:A622,A622,$B$2:B622,B622))</f>
        <v/>
      </c>
      <c r="H622" t="str">
        <f t="shared" si="9"/>
        <v/>
      </c>
    </row>
    <row r="623" spans="1:8">
      <c r="A623" s="25" t="str">
        <f>IF('Clockify Raw'!J623="","",'Clockify Raw'!J623)</f>
        <v/>
      </c>
      <c r="B623" s="23" t="str">
        <f>IF('Clockify Raw'!K623="","",VALUE('Clockify Raw'!K623))</f>
        <v/>
      </c>
      <c r="C623" s="23" t="str">
        <f>IF('Clockify Raw'!M623="","",VALUE('Clockify Raw'!M623))</f>
        <v/>
      </c>
      <c r="D623" t="str">
        <f>IF('Clockify Raw'!A623="","",IF(LOWER('Clockify Raw'!A623)="break","Break","Work"))</f>
        <v/>
      </c>
      <c r="E623" t="str">
        <f>IF('Clockify Raw'!A623="","",IF(LOWER('Clockify Raw'!A623)="break","Break",IF('Clockify Raw'!C623&lt;&gt;"",'Clockify Raw'!C623,IF('Clockify Raw'!D623&lt;&gt;"",'Clockify Raw'!D623,'Clockify Raw'!A623))))</f>
        <v/>
      </c>
      <c r="F623" s="24" t="str">
        <f>IF('Clockify Raw'!O623="","",'Clockify Raw'!O623/24)</f>
        <v/>
      </c>
      <c r="G623" t="str">
        <f>IF(A623="","",COUNTIFS($A$2:$A$1000,A623,$B$2:$B$1000,"&lt;"&amp;B623)+COUNTIFS($A$2:A623,A623,$B$2:B623,B623))</f>
        <v/>
      </c>
      <c r="H623" t="str">
        <f t="shared" si="9"/>
        <v/>
      </c>
    </row>
    <row r="624" spans="1:8">
      <c r="A624" s="25" t="str">
        <f>IF('Clockify Raw'!J624="","",'Clockify Raw'!J624)</f>
        <v/>
      </c>
      <c r="B624" s="23" t="str">
        <f>IF('Clockify Raw'!K624="","",VALUE('Clockify Raw'!K624))</f>
        <v/>
      </c>
      <c r="C624" s="23" t="str">
        <f>IF('Clockify Raw'!M624="","",VALUE('Clockify Raw'!M624))</f>
        <v/>
      </c>
      <c r="D624" t="str">
        <f>IF('Clockify Raw'!A624="","",IF(LOWER('Clockify Raw'!A624)="break","Break","Work"))</f>
        <v/>
      </c>
      <c r="E624" t="str">
        <f>IF('Clockify Raw'!A624="","",IF(LOWER('Clockify Raw'!A624)="break","Break",IF('Clockify Raw'!C624&lt;&gt;"",'Clockify Raw'!C624,IF('Clockify Raw'!D624&lt;&gt;"",'Clockify Raw'!D624,'Clockify Raw'!A624))))</f>
        <v/>
      </c>
      <c r="F624" s="24" t="str">
        <f>IF('Clockify Raw'!O624="","",'Clockify Raw'!O624/24)</f>
        <v/>
      </c>
      <c r="G624" t="str">
        <f>IF(A624="","",COUNTIFS($A$2:$A$1000,A624,$B$2:$B$1000,"&lt;"&amp;B624)+COUNTIFS($A$2:A624,A624,$B$2:B624,B624))</f>
        <v/>
      </c>
      <c r="H624" t="str">
        <f t="shared" si="9"/>
        <v/>
      </c>
    </row>
    <row r="625" spans="1:8">
      <c r="A625" s="25" t="str">
        <f>IF('Clockify Raw'!J625="","",'Clockify Raw'!J625)</f>
        <v/>
      </c>
      <c r="B625" s="23" t="str">
        <f>IF('Clockify Raw'!K625="","",VALUE('Clockify Raw'!K625))</f>
        <v/>
      </c>
      <c r="C625" s="23" t="str">
        <f>IF('Clockify Raw'!M625="","",VALUE('Clockify Raw'!M625))</f>
        <v/>
      </c>
      <c r="D625" t="str">
        <f>IF('Clockify Raw'!A625="","",IF(LOWER('Clockify Raw'!A625)="break","Break","Work"))</f>
        <v/>
      </c>
      <c r="E625" t="str">
        <f>IF('Clockify Raw'!A625="","",IF(LOWER('Clockify Raw'!A625)="break","Break",IF('Clockify Raw'!C625&lt;&gt;"",'Clockify Raw'!C625,IF('Clockify Raw'!D625&lt;&gt;"",'Clockify Raw'!D625,'Clockify Raw'!A625))))</f>
        <v/>
      </c>
      <c r="F625" s="24" t="str">
        <f>IF('Clockify Raw'!O625="","",'Clockify Raw'!O625/24)</f>
        <v/>
      </c>
      <c r="G625" t="str">
        <f>IF(A625="","",COUNTIFS($A$2:$A$1000,A625,$B$2:$B$1000,"&lt;"&amp;B625)+COUNTIFS($A$2:A625,A625,$B$2:B625,B625))</f>
        <v/>
      </c>
      <c r="H625" t="str">
        <f t="shared" si="9"/>
        <v/>
      </c>
    </row>
    <row r="626" spans="1:8">
      <c r="A626" s="25" t="str">
        <f>IF('Clockify Raw'!J626="","",'Clockify Raw'!J626)</f>
        <v/>
      </c>
      <c r="B626" s="23" t="str">
        <f>IF('Clockify Raw'!K626="","",VALUE('Clockify Raw'!K626))</f>
        <v/>
      </c>
      <c r="C626" s="23" t="str">
        <f>IF('Clockify Raw'!M626="","",VALUE('Clockify Raw'!M626))</f>
        <v/>
      </c>
      <c r="D626" t="str">
        <f>IF('Clockify Raw'!A626="","",IF(LOWER('Clockify Raw'!A626)="break","Break","Work"))</f>
        <v/>
      </c>
      <c r="E626" t="str">
        <f>IF('Clockify Raw'!A626="","",IF(LOWER('Clockify Raw'!A626)="break","Break",IF('Clockify Raw'!C626&lt;&gt;"",'Clockify Raw'!C626,IF('Clockify Raw'!D626&lt;&gt;"",'Clockify Raw'!D626,'Clockify Raw'!A626))))</f>
        <v/>
      </c>
      <c r="F626" s="24" t="str">
        <f>IF('Clockify Raw'!O626="","",'Clockify Raw'!O626/24)</f>
        <v/>
      </c>
      <c r="G626" t="str">
        <f>IF(A626="","",COUNTIFS($A$2:$A$1000,A626,$B$2:$B$1000,"&lt;"&amp;B626)+COUNTIFS($A$2:A626,A626,$B$2:B626,B626))</f>
        <v/>
      </c>
      <c r="H626" t="str">
        <f t="shared" si="9"/>
        <v/>
      </c>
    </row>
    <row r="627" spans="1:8">
      <c r="A627" s="25" t="str">
        <f>IF('Clockify Raw'!J627="","",'Clockify Raw'!J627)</f>
        <v/>
      </c>
      <c r="B627" s="23" t="str">
        <f>IF('Clockify Raw'!K627="","",VALUE('Clockify Raw'!K627))</f>
        <v/>
      </c>
      <c r="C627" s="23" t="str">
        <f>IF('Clockify Raw'!M627="","",VALUE('Clockify Raw'!M627))</f>
        <v/>
      </c>
      <c r="D627" t="str">
        <f>IF('Clockify Raw'!A627="","",IF(LOWER('Clockify Raw'!A627)="break","Break","Work"))</f>
        <v/>
      </c>
      <c r="E627" t="str">
        <f>IF('Clockify Raw'!A627="","",IF(LOWER('Clockify Raw'!A627)="break","Break",IF('Clockify Raw'!C627&lt;&gt;"",'Clockify Raw'!C627,IF('Clockify Raw'!D627&lt;&gt;"",'Clockify Raw'!D627,'Clockify Raw'!A627))))</f>
        <v/>
      </c>
      <c r="F627" s="24" t="str">
        <f>IF('Clockify Raw'!O627="","",'Clockify Raw'!O627/24)</f>
        <v/>
      </c>
      <c r="G627" t="str">
        <f>IF(A627="","",COUNTIFS($A$2:$A$1000,A627,$B$2:$B$1000,"&lt;"&amp;B627)+COUNTIFS($A$2:A627,A627,$B$2:B627,B627))</f>
        <v/>
      </c>
      <c r="H627" t="str">
        <f t="shared" si="9"/>
        <v/>
      </c>
    </row>
    <row r="628" spans="1:8">
      <c r="A628" s="25" t="str">
        <f>IF('Clockify Raw'!J628="","",'Clockify Raw'!J628)</f>
        <v/>
      </c>
      <c r="B628" s="23" t="str">
        <f>IF('Clockify Raw'!K628="","",VALUE('Clockify Raw'!K628))</f>
        <v/>
      </c>
      <c r="C628" s="23" t="str">
        <f>IF('Clockify Raw'!M628="","",VALUE('Clockify Raw'!M628))</f>
        <v/>
      </c>
      <c r="D628" t="str">
        <f>IF('Clockify Raw'!A628="","",IF(LOWER('Clockify Raw'!A628)="break","Break","Work"))</f>
        <v/>
      </c>
      <c r="E628" t="str">
        <f>IF('Clockify Raw'!A628="","",IF(LOWER('Clockify Raw'!A628)="break","Break",IF('Clockify Raw'!C628&lt;&gt;"",'Clockify Raw'!C628,IF('Clockify Raw'!D628&lt;&gt;"",'Clockify Raw'!D628,'Clockify Raw'!A628))))</f>
        <v/>
      </c>
      <c r="F628" s="24" t="str">
        <f>IF('Clockify Raw'!O628="","",'Clockify Raw'!O628/24)</f>
        <v/>
      </c>
      <c r="G628" t="str">
        <f>IF(A628="","",COUNTIFS($A$2:$A$1000,A628,$B$2:$B$1000,"&lt;"&amp;B628)+COUNTIFS($A$2:A628,A628,$B$2:B628,B628))</f>
        <v/>
      </c>
      <c r="H628" t="str">
        <f t="shared" si="9"/>
        <v/>
      </c>
    </row>
    <row r="629" spans="1:8">
      <c r="A629" s="25" t="str">
        <f>IF('Clockify Raw'!J629="","",'Clockify Raw'!J629)</f>
        <v/>
      </c>
      <c r="B629" s="23" t="str">
        <f>IF('Clockify Raw'!K629="","",VALUE('Clockify Raw'!K629))</f>
        <v/>
      </c>
      <c r="C629" s="23" t="str">
        <f>IF('Clockify Raw'!M629="","",VALUE('Clockify Raw'!M629))</f>
        <v/>
      </c>
      <c r="D629" t="str">
        <f>IF('Clockify Raw'!A629="","",IF(LOWER('Clockify Raw'!A629)="break","Break","Work"))</f>
        <v/>
      </c>
      <c r="E629" t="str">
        <f>IF('Clockify Raw'!A629="","",IF(LOWER('Clockify Raw'!A629)="break","Break",IF('Clockify Raw'!C629&lt;&gt;"",'Clockify Raw'!C629,IF('Clockify Raw'!D629&lt;&gt;"",'Clockify Raw'!D629,'Clockify Raw'!A629))))</f>
        <v/>
      </c>
      <c r="F629" s="24" t="str">
        <f>IF('Clockify Raw'!O629="","",'Clockify Raw'!O629/24)</f>
        <v/>
      </c>
      <c r="G629" t="str">
        <f>IF(A629="","",COUNTIFS($A$2:$A$1000,A629,$B$2:$B$1000,"&lt;"&amp;B629)+COUNTIFS($A$2:A629,A629,$B$2:B629,B629))</f>
        <v/>
      </c>
      <c r="H629" t="str">
        <f t="shared" si="9"/>
        <v/>
      </c>
    </row>
    <row r="630" spans="1:8">
      <c r="A630" s="25" t="str">
        <f>IF('Clockify Raw'!J630="","",'Clockify Raw'!J630)</f>
        <v/>
      </c>
      <c r="B630" s="23" t="str">
        <f>IF('Clockify Raw'!K630="","",VALUE('Clockify Raw'!K630))</f>
        <v/>
      </c>
      <c r="C630" s="23" t="str">
        <f>IF('Clockify Raw'!M630="","",VALUE('Clockify Raw'!M630))</f>
        <v/>
      </c>
      <c r="D630" t="str">
        <f>IF('Clockify Raw'!A630="","",IF(LOWER('Clockify Raw'!A630)="break","Break","Work"))</f>
        <v/>
      </c>
      <c r="E630" t="str">
        <f>IF('Clockify Raw'!A630="","",IF(LOWER('Clockify Raw'!A630)="break","Break",IF('Clockify Raw'!C630&lt;&gt;"",'Clockify Raw'!C630,IF('Clockify Raw'!D630&lt;&gt;"",'Clockify Raw'!D630,'Clockify Raw'!A630))))</f>
        <v/>
      </c>
      <c r="F630" s="24" t="str">
        <f>IF('Clockify Raw'!O630="","",'Clockify Raw'!O630/24)</f>
        <v/>
      </c>
      <c r="G630" t="str">
        <f>IF(A630="","",COUNTIFS($A$2:$A$1000,A630,$B$2:$B$1000,"&lt;"&amp;B630)+COUNTIFS($A$2:A630,A630,$B$2:B630,B630))</f>
        <v/>
      </c>
      <c r="H630" t="str">
        <f t="shared" si="9"/>
        <v/>
      </c>
    </row>
    <row r="631" spans="1:8">
      <c r="A631" s="25" t="str">
        <f>IF('Clockify Raw'!J631="","",'Clockify Raw'!J631)</f>
        <v/>
      </c>
      <c r="B631" s="23" t="str">
        <f>IF('Clockify Raw'!K631="","",VALUE('Clockify Raw'!K631))</f>
        <v/>
      </c>
      <c r="C631" s="23" t="str">
        <f>IF('Clockify Raw'!M631="","",VALUE('Clockify Raw'!M631))</f>
        <v/>
      </c>
      <c r="D631" t="str">
        <f>IF('Clockify Raw'!A631="","",IF(LOWER('Clockify Raw'!A631)="break","Break","Work"))</f>
        <v/>
      </c>
      <c r="E631" t="str">
        <f>IF('Clockify Raw'!A631="","",IF(LOWER('Clockify Raw'!A631)="break","Break",IF('Clockify Raw'!C631&lt;&gt;"",'Clockify Raw'!C631,IF('Clockify Raw'!D631&lt;&gt;"",'Clockify Raw'!D631,'Clockify Raw'!A631))))</f>
        <v/>
      </c>
      <c r="F631" s="24" t="str">
        <f>IF('Clockify Raw'!O631="","",'Clockify Raw'!O631/24)</f>
        <v/>
      </c>
      <c r="G631" t="str">
        <f>IF(A631="","",COUNTIFS($A$2:$A$1000,A631,$B$2:$B$1000,"&lt;"&amp;B631)+COUNTIFS($A$2:A631,A631,$B$2:B631,B631))</f>
        <v/>
      </c>
      <c r="H631" t="str">
        <f t="shared" si="9"/>
        <v/>
      </c>
    </row>
    <row r="632" spans="1:8">
      <c r="A632" s="25" t="str">
        <f>IF('Clockify Raw'!J632="","",'Clockify Raw'!J632)</f>
        <v/>
      </c>
      <c r="B632" s="23" t="str">
        <f>IF('Clockify Raw'!K632="","",VALUE('Clockify Raw'!K632))</f>
        <v/>
      </c>
      <c r="C632" s="23" t="str">
        <f>IF('Clockify Raw'!M632="","",VALUE('Clockify Raw'!M632))</f>
        <v/>
      </c>
      <c r="D632" t="str">
        <f>IF('Clockify Raw'!A632="","",IF(LOWER('Clockify Raw'!A632)="break","Break","Work"))</f>
        <v/>
      </c>
      <c r="E632" t="str">
        <f>IF('Clockify Raw'!A632="","",IF(LOWER('Clockify Raw'!A632)="break","Break",IF('Clockify Raw'!C632&lt;&gt;"",'Clockify Raw'!C632,IF('Clockify Raw'!D632&lt;&gt;"",'Clockify Raw'!D632,'Clockify Raw'!A632))))</f>
        <v/>
      </c>
      <c r="F632" s="24" t="str">
        <f>IF('Clockify Raw'!O632="","",'Clockify Raw'!O632/24)</f>
        <v/>
      </c>
      <c r="G632" t="str">
        <f>IF(A632="","",COUNTIFS($A$2:$A$1000,A632,$B$2:$B$1000,"&lt;"&amp;B632)+COUNTIFS($A$2:A632,A632,$B$2:B632,B632))</f>
        <v/>
      </c>
      <c r="H632" t="str">
        <f t="shared" si="9"/>
        <v/>
      </c>
    </row>
    <row r="633" spans="1:8">
      <c r="A633" s="25" t="str">
        <f>IF('Clockify Raw'!J633="","",'Clockify Raw'!J633)</f>
        <v/>
      </c>
      <c r="B633" s="23" t="str">
        <f>IF('Clockify Raw'!K633="","",VALUE('Clockify Raw'!K633))</f>
        <v/>
      </c>
      <c r="C633" s="23" t="str">
        <f>IF('Clockify Raw'!M633="","",VALUE('Clockify Raw'!M633))</f>
        <v/>
      </c>
      <c r="D633" t="str">
        <f>IF('Clockify Raw'!A633="","",IF(LOWER('Clockify Raw'!A633)="break","Break","Work"))</f>
        <v/>
      </c>
      <c r="E633" t="str">
        <f>IF('Clockify Raw'!A633="","",IF(LOWER('Clockify Raw'!A633)="break","Break",IF('Clockify Raw'!C633&lt;&gt;"",'Clockify Raw'!C633,IF('Clockify Raw'!D633&lt;&gt;"",'Clockify Raw'!D633,'Clockify Raw'!A633))))</f>
        <v/>
      </c>
      <c r="F633" s="24" t="str">
        <f>IF('Clockify Raw'!O633="","",'Clockify Raw'!O633/24)</f>
        <v/>
      </c>
      <c r="G633" t="str">
        <f>IF(A633="","",COUNTIFS($A$2:$A$1000,A633,$B$2:$B$1000,"&lt;"&amp;B633)+COUNTIFS($A$2:A633,A633,$B$2:B633,B633))</f>
        <v/>
      </c>
      <c r="H633" t="str">
        <f t="shared" si="9"/>
        <v/>
      </c>
    </row>
    <row r="634" spans="1:8">
      <c r="A634" s="25" t="str">
        <f>IF('Clockify Raw'!J634="","",'Clockify Raw'!J634)</f>
        <v/>
      </c>
      <c r="B634" s="23" t="str">
        <f>IF('Clockify Raw'!K634="","",VALUE('Clockify Raw'!K634))</f>
        <v/>
      </c>
      <c r="C634" s="23" t="str">
        <f>IF('Clockify Raw'!M634="","",VALUE('Clockify Raw'!M634))</f>
        <v/>
      </c>
      <c r="D634" t="str">
        <f>IF('Clockify Raw'!A634="","",IF(LOWER('Clockify Raw'!A634)="break","Break","Work"))</f>
        <v/>
      </c>
      <c r="E634" t="str">
        <f>IF('Clockify Raw'!A634="","",IF(LOWER('Clockify Raw'!A634)="break","Break",IF('Clockify Raw'!C634&lt;&gt;"",'Clockify Raw'!C634,IF('Clockify Raw'!D634&lt;&gt;"",'Clockify Raw'!D634,'Clockify Raw'!A634))))</f>
        <v/>
      </c>
      <c r="F634" s="24" t="str">
        <f>IF('Clockify Raw'!O634="","",'Clockify Raw'!O634/24)</f>
        <v/>
      </c>
      <c r="G634" t="str">
        <f>IF(A634="","",COUNTIFS($A$2:$A$1000,A634,$B$2:$B$1000,"&lt;"&amp;B634)+COUNTIFS($A$2:A634,A634,$B$2:B634,B634))</f>
        <v/>
      </c>
      <c r="H634" t="str">
        <f t="shared" si="9"/>
        <v/>
      </c>
    </row>
    <row r="635" spans="1:8">
      <c r="A635" s="25" t="str">
        <f>IF('Clockify Raw'!J635="","",'Clockify Raw'!J635)</f>
        <v/>
      </c>
      <c r="B635" s="23" t="str">
        <f>IF('Clockify Raw'!K635="","",VALUE('Clockify Raw'!K635))</f>
        <v/>
      </c>
      <c r="C635" s="23" t="str">
        <f>IF('Clockify Raw'!M635="","",VALUE('Clockify Raw'!M635))</f>
        <v/>
      </c>
      <c r="D635" t="str">
        <f>IF('Clockify Raw'!A635="","",IF(LOWER('Clockify Raw'!A635)="break","Break","Work"))</f>
        <v/>
      </c>
      <c r="E635" t="str">
        <f>IF('Clockify Raw'!A635="","",IF(LOWER('Clockify Raw'!A635)="break","Break",IF('Clockify Raw'!C635&lt;&gt;"",'Clockify Raw'!C635,IF('Clockify Raw'!D635&lt;&gt;"",'Clockify Raw'!D635,'Clockify Raw'!A635))))</f>
        <v/>
      </c>
      <c r="F635" s="24" t="str">
        <f>IF('Clockify Raw'!O635="","",'Clockify Raw'!O635/24)</f>
        <v/>
      </c>
      <c r="G635" t="str">
        <f>IF(A635="","",COUNTIFS($A$2:$A$1000,A635,$B$2:$B$1000,"&lt;"&amp;B635)+COUNTIFS($A$2:A635,A635,$B$2:B635,B635))</f>
        <v/>
      </c>
      <c r="H635" t="str">
        <f t="shared" si="9"/>
        <v/>
      </c>
    </row>
    <row r="636" spans="1:8">
      <c r="A636" s="25" t="str">
        <f>IF('Clockify Raw'!J636="","",'Clockify Raw'!J636)</f>
        <v/>
      </c>
      <c r="B636" s="23" t="str">
        <f>IF('Clockify Raw'!K636="","",VALUE('Clockify Raw'!K636))</f>
        <v/>
      </c>
      <c r="C636" s="23" t="str">
        <f>IF('Clockify Raw'!M636="","",VALUE('Clockify Raw'!M636))</f>
        <v/>
      </c>
      <c r="D636" t="str">
        <f>IF('Clockify Raw'!A636="","",IF(LOWER('Clockify Raw'!A636)="break","Break","Work"))</f>
        <v/>
      </c>
      <c r="E636" t="str">
        <f>IF('Clockify Raw'!A636="","",IF(LOWER('Clockify Raw'!A636)="break","Break",IF('Clockify Raw'!C636&lt;&gt;"",'Clockify Raw'!C636,IF('Clockify Raw'!D636&lt;&gt;"",'Clockify Raw'!D636,'Clockify Raw'!A636))))</f>
        <v/>
      </c>
      <c r="F636" s="24" t="str">
        <f>IF('Clockify Raw'!O636="","",'Clockify Raw'!O636/24)</f>
        <v/>
      </c>
      <c r="G636" t="str">
        <f>IF(A636="","",COUNTIFS($A$2:$A$1000,A636,$B$2:$B$1000,"&lt;"&amp;B636)+COUNTIFS($A$2:A636,A636,$B$2:B636,B636))</f>
        <v/>
      </c>
      <c r="H636" t="str">
        <f t="shared" si="9"/>
        <v/>
      </c>
    </row>
    <row r="637" spans="1:8">
      <c r="A637" s="25" t="str">
        <f>IF('Clockify Raw'!J637="","",'Clockify Raw'!J637)</f>
        <v/>
      </c>
      <c r="B637" s="23" t="str">
        <f>IF('Clockify Raw'!K637="","",VALUE('Clockify Raw'!K637))</f>
        <v/>
      </c>
      <c r="C637" s="23" t="str">
        <f>IF('Clockify Raw'!M637="","",VALUE('Clockify Raw'!M637))</f>
        <v/>
      </c>
      <c r="D637" t="str">
        <f>IF('Clockify Raw'!A637="","",IF(LOWER('Clockify Raw'!A637)="break","Break","Work"))</f>
        <v/>
      </c>
      <c r="E637" t="str">
        <f>IF('Clockify Raw'!A637="","",IF(LOWER('Clockify Raw'!A637)="break","Break",IF('Clockify Raw'!C637&lt;&gt;"",'Clockify Raw'!C637,IF('Clockify Raw'!D637&lt;&gt;"",'Clockify Raw'!D637,'Clockify Raw'!A637))))</f>
        <v/>
      </c>
      <c r="F637" s="24" t="str">
        <f>IF('Clockify Raw'!O637="","",'Clockify Raw'!O637/24)</f>
        <v/>
      </c>
      <c r="G637" t="str">
        <f>IF(A637="","",COUNTIFS($A$2:$A$1000,A637,$B$2:$B$1000,"&lt;"&amp;B637)+COUNTIFS($A$2:A637,A637,$B$2:B637,B637))</f>
        <v/>
      </c>
      <c r="H637" t="str">
        <f t="shared" si="9"/>
        <v/>
      </c>
    </row>
    <row r="638" spans="1:8">
      <c r="A638" s="25" t="str">
        <f>IF('Clockify Raw'!J638="","",'Clockify Raw'!J638)</f>
        <v/>
      </c>
      <c r="B638" s="23" t="str">
        <f>IF('Clockify Raw'!K638="","",VALUE('Clockify Raw'!K638))</f>
        <v/>
      </c>
      <c r="C638" s="23" t="str">
        <f>IF('Clockify Raw'!M638="","",VALUE('Clockify Raw'!M638))</f>
        <v/>
      </c>
      <c r="D638" t="str">
        <f>IF('Clockify Raw'!A638="","",IF(LOWER('Clockify Raw'!A638)="break","Break","Work"))</f>
        <v/>
      </c>
      <c r="E638" t="str">
        <f>IF('Clockify Raw'!A638="","",IF(LOWER('Clockify Raw'!A638)="break","Break",IF('Clockify Raw'!C638&lt;&gt;"",'Clockify Raw'!C638,IF('Clockify Raw'!D638&lt;&gt;"",'Clockify Raw'!D638,'Clockify Raw'!A638))))</f>
        <v/>
      </c>
      <c r="F638" s="24" t="str">
        <f>IF('Clockify Raw'!O638="","",'Clockify Raw'!O638/24)</f>
        <v/>
      </c>
      <c r="G638" t="str">
        <f>IF(A638="","",COUNTIFS($A$2:$A$1000,A638,$B$2:$B$1000,"&lt;"&amp;B638)+COUNTIFS($A$2:A638,A638,$B$2:B638,B638))</f>
        <v/>
      </c>
      <c r="H638" t="str">
        <f t="shared" si="9"/>
        <v/>
      </c>
    </row>
    <row r="639" spans="1:8">
      <c r="A639" s="25" t="str">
        <f>IF('Clockify Raw'!J639="","",'Clockify Raw'!J639)</f>
        <v/>
      </c>
      <c r="B639" s="23" t="str">
        <f>IF('Clockify Raw'!K639="","",VALUE('Clockify Raw'!K639))</f>
        <v/>
      </c>
      <c r="C639" s="23" t="str">
        <f>IF('Clockify Raw'!M639="","",VALUE('Clockify Raw'!M639))</f>
        <v/>
      </c>
      <c r="D639" t="str">
        <f>IF('Clockify Raw'!A639="","",IF(LOWER('Clockify Raw'!A639)="break","Break","Work"))</f>
        <v/>
      </c>
      <c r="E639" t="str">
        <f>IF('Clockify Raw'!A639="","",IF(LOWER('Clockify Raw'!A639)="break","Break",IF('Clockify Raw'!C639&lt;&gt;"",'Clockify Raw'!C639,IF('Clockify Raw'!D639&lt;&gt;"",'Clockify Raw'!D639,'Clockify Raw'!A639))))</f>
        <v/>
      </c>
      <c r="F639" s="24" t="str">
        <f>IF('Clockify Raw'!O639="","",'Clockify Raw'!O639/24)</f>
        <v/>
      </c>
      <c r="G639" t="str">
        <f>IF(A639="","",COUNTIFS($A$2:$A$1000,A639,$B$2:$B$1000,"&lt;"&amp;B639)+COUNTIFS($A$2:A639,A639,$B$2:B639,B639))</f>
        <v/>
      </c>
      <c r="H639" t="str">
        <f t="shared" si="9"/>
        <v/>
      </c>
    </row>
    <row r="640" spans="1:8">
      <c r="A640" s="25" t="str">
        <f>IF('Clockify Raw'!J640="","",'Clockify Raw'!J640)</f>
        <v/>
      </c>
      <c r="B640" s="23" t="str">
        <f>IF('Clockify Raw'!K640="","",VALUE('Clockify Raw'!K640))</f>
        <v/>
      </c>
      <c r="C640" s="23" t="str">
        <f>IF('Clockify Raw'!M640="","",VALUE('Clockify Raw'!M640))</f>
        <v/>
      </c>
      <c r="D640" t="str">
        <f>IF('Clockify Raw'!A640="","",IF(LOWER('Clockify Raw'!A640)="break","Break","Work"))</f>
        <v/>
      </c>
      <c r="E640" t="str">
        <f>IF('Clockify Raw'!A640="","",IF(LOWER('Clockify Raw'!A640)="break","Break",IF('Clockify Raw'!C640&lt;&gt;"",'Clockify Raw'!C640,IF('Clockify Raw'!D640&lt;&gt;"",'Clockify Raw'!D640,'Clockify Raw'!A640))))</f>
        <v/>
      </c>
      <c r="F640" s="24" t="str">
        <f>IF('Clockify Raw'!O640="","",'Clockify Raw'!O640/24)</f>
        <v/>
      </c>
      <c r="G640" t="str">
        <f>IF(A640="","",COUNTIFS($A$2:$A$1000,A640,$B$2:$B$1000,"&lt;"&amp;B640)+COUNTIFS($A$2:A640,A640,$B$2:B640,B640))</f>
        <v/>
      </c>
      <c r="H640" t="str">
        <f t="shared" si="9"/>
        <v/>
      </c>
    </row>
    <row r="641" spans="1:8">
      <c r="A641" s="25" t="str">
        <f>IF('Clockify Raw'!J641="","",'Clockify Raw'!J641)</f>
        <v/>
      </c>
      <c r="B641" s="23" t="str">
        <f>IF('Clockify Raw'!K641="","",VALUE('Clockify Raw'!K641))</f>
        <v/>
      </c>
      <c r="C641" s="23" t="str">
        <f>IF('Clockify Raw'!M641="","",VALUE('Clockify Raw'!M641))</f>
        <v/>
      </c>
      <c r="D641" t="str">
        <f>IF('Clockify Raw'!A641="","",IF(LOWER('Clockify Raw'!A641)="break","Break","Work"))</f>
        <v/>
      </c>
      <c r="E641" t="str">
        <f>IF('Clockify Raw'!A641="","",IF(LOWER('Clockify Raw'!A641)="break","Break",IF('Clockify Raw'!C641&lt;&gt;"",'Clockify Raw'!C641,IF('Clockify Raw'!D641&lt;&gt;"",'Clockify Raw'!D641,'Clockify Raw'!A641))))</f>
        <v/>
      </c>
      <c r="F641" s="24" t="str">
        <f>IF('Clockify Raw'!O641="","",'Clockify Raw'!O641/24)</f>
        <v/>
      </c>
      <c r="G641" t="str">
        <f>IF(A641="","",COUNTIFS($A$2:$A$1000,A641,$B$2:$B$1000,"&lt;"&amp;B641)+COUNTIFS($A$2:A641,A641,$B$2:B641,B641))</f>
        <v/>
      </c>
      <c r="H641" t="str">
        <f t="shared" si="9"/>
        <v/>
      </c>
    </row>
    <row r="642" spans="1:8">
      <c r="A642" s="25" t="str">
        <f>IF('Clockify Raw'!J642="","",'Clockify Raw'!J642)</f>
        <v/>
      </c>
      <c r="B642" s="23" t="str">
        <f>IF('Clockify Raw'!K642="","",VALUE('Clockify Raw'!K642))</f>
        <v/>
      </c>
      <c r="C642" s="23" t="str">
        <f>IF('Clockify Raw'!M642="","",VALUE('Clockify Raw'!M642))</f>
        <v/>
      </c>
      <c r="D642" t="str">
        <f>IF('Clockify Raw'!A642="","",IF(LOWER('Clockify Raw'!A642)="break","Break","Work"))</f>
        <v/>
      </c>
      <c r="E642" t="str">
        <f>IF('Clockify Raw'!A642="","",IF(LOWER('Clockify Raw'!A642)="break","Break",IF('Clockify Raw'!C642&lt;&gt;"",'Clockify Raw'!C642,IF('Clockify Raw'!D642&lt;&gt;"",'Clockify Raw'!D642,'Clockify Raw'!A642))))</f>
        <v/>
      </c>
      <c r="F642" s="24" t="str">
        <f>IF('Clockify Raw'!O642="","",'Clockify Raw'!O642/24)</f>
        <v/>
      </c>
      <c r="G642" t="str">
        <f>IF(A642="","",COUNTIFS($A$2:$A$1000,A642,$B$2:$B$1000,"&lt;"&amp;B642)+COUNTIFS($A$2:A642,A642,$B$2:B642,B642))</f>
        <v/>
      </c>
      <c r="H642" t="str">
        <f t="shared" ref="H642:H705" si="10">IF(A642="","",TEXT(A642,"yyyymmdd")&amp;"|"&amp;G642)</f>
        <v/>
      </c>
    </row>
    <row r="643" spans="1:8">
      <c r="A643" s="25" t="str">
        <f>IF('Clockify Raw'!J643="","",'Clockify Raw'!J643)</f>
        <v/>
      </c>
      <c r="B643" s="23" t="str">
        <f>IF('Clockify Raw'!K643="","",VALUE('Clockify Raw'!K643))</f>
        <v/>
      </c>
      <c r="C643" s="23" t="str">
        <f>IF('Clockify Raw'!M643="","",VALUE('Clockify Raw'!M643))</f>
        <v/>
      </c>
      <c r="D643" t="str">
        <f>IF('Clockify Raw'!A643="","",IF(LOWER('Clockify Raw'!A643)="break","Break","Work"))</f>
        <v/>
      </c>
      <c r="E643" t="str">
        <f>IF('Clockify Raw'!A643="","",IF(LOWER('Clockify Raw'!A643)="break","Break",IF('Clockify Raw'!C643&lt;&gt;"",'Clockify Raw'!C643,IF('Clockify Raw'!D643&lt;&gt;"",'Clockify Raw'!D643,'Clockify Raw'!A643))))</f>
        <v/>
      </c>
      <c r="F643" s="24" t="str">
        <f>IF('Clockify Raw'!O643="","",'Clockify Raw'!O643/24)</f>
        <v/>
      </c>
      <c r="G643" t="str">
        <f>IF(A643="","",COUNTIFS($A$2:$A$1000,A643,$B$2:$B$1000,"&lt;"&amp;B643)+COUNTIFS($A$2:A643,A643,$B$2:B643,B643))</f>
        <v/>
      </c>
      <c r="H643" t="str">
        <f t="shared" si="10"/>
        <v/>
      </c>
    </row>
    <row r="644" spans="1:8">
      <c r="A644" s="25" t="str">
        <f>IF('Clockify Raw'!J644="","",'Clockify Raw'!J644)</f>
        <v/>
      </c>
      <c r="B644" s="23" t="str">
        <f>IF('Clockify Raw'!K644="","",VALUE('Clockify Raw'!K644))</f>
        <v/>
      </c>
      <c r="C644" s="23" t="str">
        <f>IF('Clockify Raw'!M644="","",VALUE('Clockify Raw'!M644))</f>
        <v/>
      </c>
      <c r="D644" t="str">
        <f>IF('Clockify Raw'!A644="","",IF(LOWER('Clockify Raw'!A644)="break","Break","Work"))</f>
        <v/>
      </c>
      <c r="E644" t="str">
        <f>IF('Clockify Raw'!A644="","",IF(LOWER('Clockify Raw'!A644)="break","Break",IF('Clockify Raw'!C644&lt;&gt;"",'Clockify Raw'!C644,IF('Clockify Raw'!D644&lt;&gt;"",'Clockify Raw'!D644,'Clockify Raw'!A644))))</f>
        <v/>
      </c>
      <c r="F644" s="24" t="str">
        <f>IF('Clockify Raw'!O644="","",'Clockify Raw'!O644/24)</f>
        <v/>
      </c>
      <c r="G644" t="str">
        <f>IF(A644="","",COUNTIFS($A$2:$A$1000,A644,$B$2:$B$1000,"&lt;"&amp;B644)+COUNTIFS($A$2:A644,A644,$B$2:B644,B644))</f>
        <v/>
      </c>
      <c r="H644" t="str">
        <f t="shared" si="10"/>
        <v/>
      </c>
    </row>
    <row r="645" spans="1:8">
      <c r="A645" s="25" t="str">
        <f>IF('Clockify Raw'!J645="","",'Clockify Raw'!J645)</f>
        <v/>
      </c>
      <c r="B645" s="23" t="str">
        <f>IF('Clockify Raw'!K645="","",VALUE('Clockify Raw'!K645))</f>
        <v/>
      </c>
      <c r="C645" s="23" t="str">
        <f>IF('Clockify Raw'!M645="","",VALUE('Clockify Raw'!M645))</f>
        <v/>
      </c>
      <c r="D645" t="str">
        <f>IF('Clockify Raw'!A645="","",IF(LOWER('Clockify Raw'!A645)="break","Break","Work"))</f>
        <v/>
      </c>
      <c r="E645" t="str">
        <f>IF('Clockify Raw'!A645="","",IF(LOWER('Clockify Raw'!A645)="break","Break",IF('Clockify Raw'!C645&lt;&gt;"",'Clockify Raw'!C645,IF('Clockify Raw'!D645&lt;&gt;"",'Clockify Raw'!D645,'Clockify Raw'!A645))))</f>
        <v/>
      </c>
      <c r="F645" s="24" t="str">
        <f>IF('Clockify Raw'!O645="","",'Clockify Raw'!O645/24)</f>
        <v/>
      </c>
      <c r="G645" t="str">
        <f>IF(A645="","",COUNTIFS($A$2:$A$1000,A645,$B$2:$B$1000,"&lt;"&amp;B645)+COUNTIFS($A$2:A645,A645,$B$2:B645,B645))</f>
        <v/>
      </c>
      <c r="H645" t="str">
        <f t="shared" si="10"/>
        <v/>
      </c>
    </row>
    <row r="646" spans="1:8">
      <c r="A646" s="25" t="str">
        <f>IF('Clockify Raw'!J646="","",'Clockify Raw'!J646)</f>
        <v/>
      </c>
      <c r="B646" s="23" t="str">
        <f>IF('Clockify Raw'!K646="","",VALUE('Clockify Raw'!K646))</f>
        <v/>
      </c>
      <c r="C646" s="23" t="str">
        <f>IF('Clockify Raw'!M646="","",VALUE('Clockify Raw'!M646))</f>
        <v/>
      </c>
      <c r="D646" t="str">
        <f>IF('Clockify Raw'!A646="","",IF(LOWER('Clockify Raw'!A646)="break","Break","Work"))</f>
        <v/>
      </c>
      <c r="E646" t="str">
        <f>IF('Clockify Raw'!A646="","",IF(LOWER('Clockify Raw'!A646)="break","Break",IF('Clockify Raw'!C646&lt;&gt;"",'Clockify Raw'!C646,IF('Clockify Raw'!D646&lt;&gt;"",'Clockify Raw'!D646,'Clockify Raw'!A646))))</f>
        <v/>
      </c>
      <c r="F646" s="24" t="str">
        <f>IF('Clockify Raw'!O646="","",'Clockify Raw'!O646/24)</f>
        <v/>
      </c>
      <c r="G646" t="str">
        <f>IF(A646="","",COUNTIFS($A$2:$A$1000,A646,$B$2:$B$1000,"&lt;"&amp;B646)+COUNTIFS($A$2:A646,A646,$B$2:B646,B646))</f>
        <v/>
      </c>
      <c r="H646" t="str">
        <f t="shared" si="10"/>
        <v/>
      </c>
    </row>
    <row r="647" spans="1:8">
      <c r="A647" s="25" t="str">
        <f>IF('Clockify Raw'!J647="","",'Clockify Raw'!J647)</f>
        <v/>
      </c>
      <c r="B647" s="23" t="str">
        <f>IF('Clockify Raw'!K647="","",VALUE('Clockify Raw'!K647))</f>
        <v/>
      </c>
      <c r="C647" s="23" t="str">
        <f>IF('Clockify Raw'!M647="","",VALUE('Clockify Raw'!M647))</f>
        <v/>
      </c>
      <c r="D647" t="str">
        <f>IF('Clockify Raw'!A647="","",IF(LOWER('Clockify Raw'!A647)="break","Break","Work"))</f>
        <v/>
      </c>
      <c r="E647" t="str">
        <f>IF('Clockify Raw'!A647="","",IF(LOWER('Clockify Raw'!A647)="break","Break",IF('Clockify Raw'!C647&lt;&gt;"",'Clockify Raw'!C647,IF('Clockify Raw'!D647&lt;&gt;"",'Clockify Raw'!D647,'Clockify Raw'!A647))))</f>
        <v/>
      </c>
      <c r="F647" s="24" t="str">
        <f>IF('Clockify Raw'!O647="","",'Clockify Raw'!O647/24)</f>
        <v/>
      </c>
      <c r="G647" t="str">
        <f>IF(A647="","",COUNTIFS($A$2:$A$1000,A647,$B$2:$B$1000,"&lt;"&amp;B647)+COUNTIFS($A$2:A647,A647,$B$2:B647,B647))</f>
        <v/>
      </c>
      <c r="H647" t="str">
        <f t="shared" si="10"/>
        <v/>
      </c>
    </row>
    <row r="648" spans="1:8">
      <c r="A648" s="25" t="str">
        <f>IF('Clockify Raw'!J648="","",'Clockify Raw'!J648)</f>
        <v/>
      </c>
      <c r="B648" s="23" t="str">
        <f>IF('Clockify Raw'!K648="","",VALUE('Clockify Raw'!K648))</f>
        <v/>
      </c>
      <c r="C648" s="23" t="str">
        <f>IF('Clockify Raw'!M648="","",VALUE('Clockify Raw'!M648))</f>
        <v/>
      </c>
      <c r="D648" t="str">
        <f>IF('Clockify Raw'!A648="","",IF(LOWER('Clockify Raw'!A648)="break","Break","Work"))</f>
        <v/>
      </c>
      <c r="E648" t="str">
        <f>IF('Clockify Raw'!A648="","",IF(LOWER('Clockify Raw'!A648)="break","Break",IF('Clockify Raw'!C648&lt;&gt;"",'Clockify Raw'!C648,IF('Clockify Raw'!D648&lt;&gt;"",'Clockify Raw'!D648,'Clockify Raw'!A648))))</f>
        <v/>
      </c>
      <c r="F648" s="24" t="str">
        <f>IF('Clockify Raw'!O648="","",'Clockify Raw'!O648/24)</f>
        <v/>
      </c>
      <c r="G648" t="str">
        <f>IF(A648="","",COUNTIFS($A$2:$A$1000,A648,$B$2:$B$1000,"&lt;"&amp;B648)+COUNTIFS($A$2:A648,A648,$B$2:B648,B648))</f>
        <v/>
      </c>
      <c r="H648" t="str">
        <f t="shared" si="10"/>
        <v/>
      </c>
    </row>
    <row r="649" spans="1:8">
      <c r="A649" s="25" t="str">
        <f>IF('Clockify Raw'!J649="","",'Clockify Raw'!J649)</f>
        <v/>
      </c>
      <c r="B649" s="23" t="str">
        <f>IF('Clockify Raw'!K649="","",VALUE('Clockify Raw'!K649))</f>
        <v/>
      </c>
      <c r="C649" s="23" t="str">
        <f>IF('Clockify Raw'!M649="","",VALUE('Clockify Raw'!M649))</f>
        <v/>
      </c>
      <c r="D649" t="str">
        <f>IF('Clockify Raw'!A649="","",IF(LOWER('Clockify Raw'!A649)="break","Break","Work"))</f>
        <v/>
      </c>
      <c r="E649" t="str">
        <f>IF('Clockify Raw'!A649="","",IF(LOWER('Clockify Raw'!A649)="break","Break",IF('Clockify Raw'!C649&lt;&gt;"",'Clockify Raw'!C649,IF('Clockify Raw'!D649&lt;&gt;"",'Clockify Raw'!D649,'Clockify Raw'!A649))))</f>
        <v/>
      </c>
      <c r="F649" s="24" t="str">
        <f>IF('Clockify Raw'!O649="","",'Clockify Raw'!O649/24)</f>
        <v/>
      </c>
      <c r="G649" t="str">
        <f>IF(A649="","",COUNTIFS($A$2:$A$1000,A649,$B$2:$B$1000,"&lt;"&amp;B649)+COUNTIFS($A$2:A649,A649,$B$2:B649,B649))</f>
        <v/>
      </c>
      <c r="H649" t="str">
        <f t="shared" si="10"/>
        <v/>
      </c>
    </row>
    <row r="650" spans="1:8">
      <c r="A650" s="25" t="str">
        <f>IF('Clockify Raw'!J650="","",'Clockify Raw'!J650)</f>
        <v/>
      </c>
      <c r="B650" s="23" t="str">
        <f>IF('Clockify Raw'!K650="","",VALUE('Clockify Raw'!K650))</f>
        <v/>
      </c>
      <c r="C650" s="23" t="str">
        <f>IF('Clockify Raw'!M650="","",VALUE('Clockify Raw'!M650))</f>
        <v/>
      </c>
      <c r="D650" t="str">
        <f>IF('Clockify Raw'!A650="","",IF(LOWER('Clockify Raw'!A650)="break","Break","Work"))</f>
        <v/>
      </c>
      <c r="E650" t="str">
        <f>IF('Clockify Raw'!A650="","",IF(LOWER('Clockify Raw'!A650)="break","Break",IF('Clockify Raw'!C650&lt;&gt;"",'Clockify Raw'!C650,IF('Clockify Raw'!D650&lt;&gt;"",'Clockify Raw'!D650,'Clockify Raw'!A650))))</f>
        <v/>
      </c>
      <c r="F650" s="24" t="str">
        <f>IF('Clockify Raw'!O650="","",'Clockify Raw'!O650/24)</f>
        <v/>
      </c>
      <c r="G650" t="str">
        <f>IF(A650="","",COUNTIFS($A$2:$A$1000,A650,$B$2:$B$1000,"&lt;"&amp;B650)+COUNTIFS($A$2:A650,A650,$B$2:B650,B650))</f>
        <v/>
      </c>
      <c r="H650" t="str">
        <f t="shared" si="10"/>
        <v/>
      </c>
    </row>
    <row r="651" spans="1:8">
      <c r="A651" s="25" t="str">
        <f>IF('Clockify Raw'!J651="","",'Clockify Raw'!J651)</f>
        <v/>
      </c>
      <c r="B651" s="23" t="str">
        <f>IF('Clockify Raw'!K651="","",VALUE('Clockify Raw'!K651))</f>
        <v/>
      </c>
      <c r="C651" s="23" t="str">
        <f>IF('Clockify Raw'!M651="","",VALUE('Clockify Raw'!M651))</f>
        <v/>
      </c>
      <c r="D651" t="str">
        <f>IF('Clockify Raw'!A651="","",IF(LOWER('Clockify Raw'!A651)="break","Break","Work"))</f>
        <v/>
      </c>
      <c r="E651" t="str">
        <f>IF('Clockify Raw'!A651="","",IF(LOWER('Clockify Raw'!A651)="break","Break",IF('Clockify Raw'!C651&lt;&gt;"",'Clockify Raw'!C651,IF('Clockify Raw'!D651&lt;&gt;"",'Clockify Raw'!D651,'Clockify Raw'!A651))))</f>
        <v/>
      </c>
      <c r="F651" s="24" t="str">
        <f>IF('Clockify Raw'!O651="","",'Clockify Raw'!O651/24)</f>
        <v/>
      </c>
      <c r="G651" t="str">
        <f>IF(A651="","",COUNTIFS($A$2:$A$1000,A651,$B$2:$B$1000,"&lt;"&amp;B651)+COUNTIFS($A$2:A651,A651,$B$2:B651,B651))</f>
        <v/>
      </c>
      <c r="H651" t="str">
        <f t="shared" si="10"/>
        <v/>
      </c>
    </row>
    <row r="652" spans="1:8">
      <c r="A652" s="25" t="str">
        <f>IF('Clockify Raw'!J652="","",'Clockify Raw'!J652)</f>
        <v/>
      </c>
      <c r="B652" s="23" t="str">
        <f>IF('Clockify Raw'!K652="","",VALUE('Clockify Raw'!K652))</f>
        <v/>
      </c>
      <c r="C652" s="23" t="str">
        <f>IF('Clockify Raw'!M652="","",VALUE('Clockify Raw'!M652))</f>
        <v/>
      </c>
      <c r="D652" t="str">
        <f>IF('Clockify Raw'!A652="","",IF(LOWER('Clockify Raw'!A652)="break","Break","Work"))</f>
        <v/>
      </c>
      <c r="E652" t="str">
        <f>IF('Clockify Raw'!A652="","",IF(LOWER('Clockify Raw'!A652)="break","Break",IF('Clockify Raw'!C652&lt;&gt;"",'Clockify Raw'!C652,IF('Clockify Raw'!D652&lt;&gt;"",'Clockify Raw'!D652,'Clockify Raw'!A652))))</f>
        <v/>
      </c>
      <c r="F652" s="24" t="str">
        <f>IF('Clockify Raw'!O652="","",'Clockify Raw'!O652/24)</f>
        <v/>
      </c>
      <c r="G652" t="str">
        <f>IF(A652="","",COUNTIFS($A$2:$A$1000,A652,$B$2:$B$1000,"&lt;"&amp;B652)+COUNTIFS($A$2:A652,A652,$B$2:B652,B652))</f>
        <v/>
      </c>
      <c r="H652" t="str">
        <f t="shared" si="10"/>
        <v/>
      </c>
    </row>
    <row r="653" spans="1:8">
      <c r="A653" s="25" t="str">
        <f>IF('Clockify Raw'!J653="","",'Clockify Raw'!J653)</f>
        <v/>
      </c>
      <c r="B653" s="23" t="str">
        <f>IF('Clockify Raw'!K653="","",VALUE('Clockify Raw'!K653))</f>
        <v/>
      </c>
      <c r="C653" s="23" t="str">
        <f>IF('Clockify Raw'!M653="","",VALUE('Clockify Raw'!M653))</f>
        <v/>
      </c>
      <c r="D653" t="str">
        <f>IF('Clockify Raw'!A653="","",IF(LOWER('Clockify Raw'!A653)="break","Break","Work"))</f>
        <v/>
      </c>
      <c r="E653" t="str">
        <f>IF('Clockify Raw'!A653="","",IF(LOWER('Clockify Raw'!A653)="break","Break",IF('Clockify Raw'!C653&lt;&gt;"",'Clockify Raw'!C653,IF('Clockify Raw'!D653&lt;&gt;"",'Clockify Raw'!D653,'Clockify Raw'!A653))))</f>
        <v/>
      </c>
      <c r="F653" s="24" t="str">
        <f>IF('Clockify Raw'!O653="","",'Clockify Raw'!O653/24)</f>
        <v/>
      </c>
      <c r="G653" t="str">
        <f>IF(A653="","",COUNTIFS($A$2:$A$1000,A653,$B$2:$B$1000,"&lt;"&amp;B653)+COUNTIFS($A$2:A653,A653,$B$2:B653,B653))</f>
        <v/>
      </c>
      <c r="H653" t="str">
        <f t="shared" si="10"/>
        <v/>
      </c>
    </row>
    <row r="654" spans="1:8">
      <c r="A654" s="25" t="str">
        <f>IF('Clockify Raw'!J654="","",'Clockify Raw'!J654)</f>
        <v/>
      </c>
      <c r="B654" s="23" t="str">
        <f>IF('Clockify Raw'!K654="","",VALUE('Clockify Raw'!K654))</f>
        <v/>
      </c>
      <c r="C654" s="23" t="str">
        <f>IF('Clockify Raw'!M654="","",VALUE('Clockify Raw'!M654))</f>
        <v/>
      </c>
      <c r="D654" t="str">
        <f>IF('Clockify Raw'!A654="","",IF(LOWER('Clockify Raw'!A654)="break","Break","Work"))</f>
        <v/>
      </c>
      <c r="E654" t="str">
        <f>IF('Clockify Raw'!A654="","",IF(LOWER('Clockify Raw'!A654)="break","Break",IF('Clockify Raw'!C654&lt;&gt;"",'Clockify Raw'!C654,IF('Clockify Raw'!D654&lt;&gt;"",'Clockify Raw'!D654,'Clockify Raw'!A654))))</f>
        <v/>
      </c>
      <c r="F654" s="24" t="str">
        <f>IF('Clockify Raw'!O654="","",'Clockify Raw'!O654/24)</f>
        <v/>
      </c>
      <c r="G654" t="str">
        <f>IF(A654="","",COUNTIFS($A$2:$A$1000,A654,$B$2:$B$1000,"&lt;"&amp;B654)+COUNTIFS($A$2:A654,A654,$B$2:B654,B654))</f>
        <v/>
      </c>
      <c r="H654" t="str">
        <f t="shared" si="10"/>
        <v/>
      </c>
    </row>
    <row r="655" spans="1:8">
      <c r="A655" s="25" t="str">
        <f>IF('Clockify Raw'!J655="","",'Clockify Raw'!J655)</f>
        <v/>
      </c>
      <c r="B655" s="23" t="str">
        <f>IF('Clockify Raw'!K655="","",VALUE('Clockify Raw'!K655))</f>
        <v/>
      </c>
      <c r="C655" s="23" t="str">
        <f>IF('Clockify Raw'!M655="","",VALUE('Clockify Raw'!M655))</f>
        <v/>
      </c>
      <c r="D655" t="str">
        <f>IF('Clockify Raw'!A655="","",IF(LOWER('Clockify Raw'!A655)="break","Break","Work"))</f>
        <v/>
      </c>
      <c r="E655" t="str">
        <f>IF('Clockify Raw'!A655="","",IF(LOWER('Clockify Raw'!A655)="break","Break",IF('Clockify Raw'!C655&lt;&gt;"",'Clockify Raw'!C655,IF('Clockify Raw'!D655&lt;&gt;"",'Clockify Raw'!D655,'Clockify Raw'!A655))))</f>
        <v/>
      </c>
      <c r="F655" s="24" t="str">
        <f>IF('Clockify Raw'!O655="","",'Clockify Raw'!O655/24)</f>
        <v/>
      </c>
      <c r="G655" t="str">
        <f>IF(A655="","",COUNTIFS($A$2:$A$1000,A655,$B$2:$B$1000,"&lt;"&amp;B655)+COUNTIFS($A$2:A655,A655,$B$2:B655,B655))</f>
        <v/>
      </c>
      <c r="H655" t="str">
        <f t="shared" si="10"/>
        <v/>
      </c>
    </row>
    <row r="656" spans="1:8">
      <c r="A656" s="25" t="str">
        <f>IF('Clockify Raw'!J656="","",'Clockify Raw'!J656)</f>
        <v/>
      </c>
      <c r="B656" s="23" t="str">
        <f>IF('Clockify Raw'!K656="","",VALUE('Clockify Raw'!K656))</f>
        <v/>
      </c>
      <c r="C656" s="23" t="str">
        <f>IF('Clockify Raw'!M656="","",VALUE('Clockify Raw'!M656))</f>
        <v/>
      </c>
      <c r="D656" t="str">
        <f>IF('Clockify Raw'!A656="","",IF(LOWER('Clockify Raw'!A656)="break","Break","Work"))</f>
        <v/>
      </c>
      <c r="E656" t="str">
        <f>IF('Clockify Raw'!A656="","",IF(LOWER('Clockify Raw'!A656)="break","Break",IF('Clockify Raw'!C656&lt;&gt;"",'Clockify Raw'!C656,IF('Clockify Raw'!D656&lt;&gt;"",'Clockify Raw'!D656,'Clockify Raw'!A656))))</f>
        <v/>
      </c>
      <c r="F656" s="24" t="str">
        <f>IF('Clockify Raw'!O656="","",'Clockify Raw'!O656/24)</f>
        <v/>
      </c>
      <c r="G656" t="str">
        <f>IF(A656="","",COUNTIFS($A$2:$A$1000,A656,$B$2:$B$1000,"&lt;"&amp;B656)+COUNTIFS($A$2:A656,A656,$B$2:B656,B656))</f>
        <v/>
      </c>
      <c r="H656" t="str">
        <f t="shared" si="10"/>
        <v/>
      </c>
    </row>
    <row r="657" spans="1:8">
      <c r="A657" s="25" t="str">
        <f>IF('Clockify Raw'!J657="","",'Clockify Raw'!J657)</f>
        <v/>
      </c>
      <c r="B657" s="23" t="str">
        <f>IF('Clockify Raw'!K657="","",VALUE('Clockify Raw'!K657))</f>
        <v/>
      </c>
      <c r="C657" s="23" t="str">
        <f>IF('Clockify Raw'!M657="","",VALUE('Clockify Raw'!M657))</f>
        <v/>
      </c>
      <c r="D657" t="str">
        <f>IF('Clockify Raw'!A657="","",IF(LOWER('Clockify Raw'!A657)="break","Break","Work"))</f>
        <v/>
      </c>
      <c r="E657" t="str">
        <f>IF('Clockify Raw'!A657="","",IF(LOWER('Clockify Raw'!A657)="break","Break",IF('Clockify Raw'!C657&lt;&gt;"",'Clockify Raw'!C657,IF('Clockify Raw'!D657&lt;&gt;"",'Clockify Raw'!D657,'Clockify Raw'!A657))))</f>
        <v/>
      </c>
      <c r="F657" s="24" t="str">
        <f>IF('Clockify Raw'!O657="","",'Clockify Raw'!O657/24)</f>
        <v/>
      </c>
      <c r="G657" t="str">
        <f>IF(A657="","",COUNTIFS($A$2:$A$1000,A657,$B$2:$B$1000,"&lt;"&amp;B657)+COUNTIFS($A$2:A657,A657,$B$2:B657,B657))</f>
        <v/>
      </c>
      <c r="H657" t="str">
        <f t="shared" si="10"/>
        <v/>
      </c>
    </row>
    <row r="658" spans="1:8">
      <c r="A658" s="25" t="str">
        <f>IF('Clockify Raw'!J658="","",'Clockify Raw'!J658)</f>
        <v/>
      </c>
      <c r="B658" s="23" t="str">
        <f>IF('Clockify Raw'!K658="","",VALUE('Clockify Raw'!K658))</f>
        <v/>
      </c>
      <c r="C658" s="23" t="str">
        <f>IF('Clockify Raw'!M658="","",VALUE('Clockify Raw'!M658))</f>
        <v/>
      </c>
      <c r="D658" t="str">
        <f>IF('Clockify Raw'!A658="","",IF(LOWER('Clockify Raw'!A658)="break","Break","Work"))</f>
        <v/>
      </c>
      <c r="E658" t="str">
        <f>IF('Clockify Raw'!A658="","",IF(LOWER('Clockify Raw'!A658)="break","Break",IF('Clockify Raw'!C658&lt;&gt;"",'Clockify Raw'!C658,IF('Clockify Raw'!D658&lt;&gt;"",'Clockify Raw'!D658,'Clockify Raw'!A658))))</f>
        <v/>
      </c>
      <c r="F658" s="24" t="str">
        <f>IF('Clockify Raw'!O658="","",'Clockify Raw'!O658/24)</f>
        <v/>
      </c>
      <c r="G658" t="str">
        <f>IF(A658="","",COUNTIFS($A$2:$A$1000,A658,$B$2:$B$1000,"&lt;"&amp;B658)+COUNTIFS($A$2:A658,A658,$B$2:B658,B658))</f>
        <v/>
      </c>
      <c r="H658" t="str">
        <f t="shared" si="10"/>
        <v/>
      </c>
    </row>
    <row r="659" spans="1:8">
      <c r="A659" s="25" t="str">
        <f>IF('Clockify Raw'!J659="","",'Clockify Raw'!J659)</f>
        <v/>
      </c>
      <c r="B659" s="23" t="str">
        <f>IF('Clockify Raw'!K659="","",VALUE('Clockify Raw'!K659))</f>
        <v/>
      </c>
      <c r="C659" s="23" t="str">
        <f>IF('Clockify Raw'!M659="","",VALUE('Clockify Raw'!M659))</f>
        <v/>
      </c>
      <c r="D659" t="str">
        <f>IF('Clockify Raw'!A659="","",IF(LOWER('Clockify Raw'!A659)="break","Break","Work"))</f>
        <v/>
      </c>
      <c r="E659" t="str">
        <f>IF('Clockify Raw'!A659="","",IF(LOWER('Clockify Raw'!A659)="break","Break",IF('Clockify Raw'!C659&lt;&gt;"",'Clockify Raw'!C659,IF('Clockify Raw'!D659&lt;&gt;"",'Clockify Raw'!D659,'Clockify Raw'!A659))))</f>
        <v/>
      </c>
      <c r="F659" s="24" t="str">
        <f>IF('Clockify Raw'!O659="","",'Clockify Raw'!O659/24)</f>
        <v/>
      </c>
      <c r="G659" t="str">
        <f>IF(A659="","",COUNTIFS($A$2:$A$1000,A659,$B$2:$B$1000,"&lt;"&amp;B659)+COUNTIFS($A$2:A659,A659,$B$2:B659,B659))</f>
        <v/>
      </c>
      <c r="H659" t="str">
        <f t="shared" si="10"/>
        <v/>
      </c>
    </row>
    <row r="660" spans="1:8">
      <c r="A660" s="25" t="str">
        <f>IF('Clockify Raw'!J660="","",'Clockify Raw'!J660)</f>
        <v/>
      </c>
      <c r="B660" s="23" t="str">
        <f>IF('Clockify Raw'!K660="","",VALUE('Clockify Raw'!K660))</f>
        <v/>
      </c>
      <c r="C660" s="23" t="str">
        <f>IF('Clockify Raw'!M660="","",VALUE('Clockify Raw'!M660))</f>
        <v/>
      </c>
      <c r="D660" t="str">
        <f>IF('Clockify Raw'!A660="","",IF(LOWER('Clockify Raw'!A660)="break","Break","Work"))</f>
        <v/>
      </c>
      <c r="E660" t="str">
        <f>IF('Clockify Raw'!A660="","",IF(LOWER('Clockify Raw'!A660)="break","Break",IF('Clockify Raw'!C660&lt;&gt;"",'Clockify Raw'!C660,IF('Clockify Raw'!D660&lt;&gt;"",'Clockify Raw'!D660,'Clockify Raw'!A660))))</f>
        <v/>
      </c>
      <c r="F660" s="24" t="str">
        <f>IF('Clockify Raw'!O660="","",'Clockify Raw'!O660/24)</f>
        <v/>
      </c>
      <c r="G660" t="str">
        <f>IF(A660="","",COUNTIFS($A$2:$A$1000,A660,$B$2:$B$1000,"&lt;"&amp;B660)+COUNTIFS($A$2:A660,A660,$B$2:B660,B660))</f>
        <v/>
      </c>
      <c r="H660" t="str">
        <f t="shared" si="10"/>
        <v/>
      </c>
    </row>
    <row r="661" spans="1:8">
      <c r="A661" s="25" t="str">
        <f>IF('Clockify Raw'!J661="","",'Clockify Raw'!J661)</f>
        <v/>
      </c>
      <c r="B661" s="23" t="str">
        <f>IF('Clockify Raw'!K661="","",VALUE('Clockify Raw'!K661))</f>
        <v/>
      </c>
      <c r="C661" s="23" t="str">
        <f>IF('Clockify Raw'!M661="","",VALUE('Clockify Raw'!M661))</f>
        <v/>
      </c>
      <c r="D661" t="str">
        <f>IF('Clockify Raw'!A661="","",IF(LOWER('Clockify Raw'!A661)="break","Break","Work"))</f>
        <v/>
      </c>
      <c r="E661" t="str">
        <f>IF('Clockify Raw'!A661="","",IF(LOWER('Clockify Raw'!A661)="break","Break",IF('Clockify Raw'!C661&lt;&gt;"",'Clockify Raw'!C661,IF('Clockify Raw'!D661&lt;&gt;"",'Clockify Raw'!D661,'Clockify Raw'!A661))))</f>
        <v/>
      </c>
      <c r="F661" s="24" t="str">
        <f>IF('Clockify Raw'!O661="","",'Clockify Raw'!O661/24)</f>
        <v/>
      </c>
      <c r="G661" t="str">
        <f>IF(A661="","",COUNTIFS($A$2:$A$1000,A661,$B$2:$B$1000,"&lt;"&amp;B661)+COUNTIFS($A$2:A661,A661,$B$2:B661,B661))</f>
        <v/>
      </c>
      <c r="H661" t="str">
        <f t="shared" si="10"/>
        <v/>
      </c>
    </row>
    <row r="662" spans="1:8">
      <c r="A662" s="25" t="str">
        <f>IF('Clockify Raw'!J662="","",'Clockify Raw'!J662)</f>
        <v/>
      </c>
      <c r="B662" s="23" t="str">
        <f>IF('Clockify Raw'!K662="","",VALUE('Clockify Raw'!K662))</f>
        <v/>
      </c>
      <c r="C662" s="23" t="str">
        <f>IF('Clockify Raw'!M662="","",VALUE('Clockify Raw'!M662))</f>
        <v/>
      </c>
      <c r="D662" t="str">
        <f>IF('Clockify Raw'!A662="","",IF(LOWER('Clockify Raw'!A662)="break","Break","Work"))</f>
        <v/>
      </c>
      <c r="E662" t="str">
        <f>IF('Clockify Raw'!A662="","",IF(LOWER('Clockify Raw'!A662)="break","Break",IF('Clockify Raw'!C662&lt;&gt;"",'Clockify Raw'!C662,IF('Clockify Raw'!D662&lt;&gt;"",'Clockify Raw'!D662,'Clockify Raw'!A662))))</f>
        <v/>
      </c>
      <c r="F662" s="24" t="str">
        <f>IF('Clockify Raw'!O662="","",'Clockify Raw'!O662/24)</f>
        <v/>
      </c>
      <c r="G662" t="str">
        <f>IF(A662="","",COUNTIFS($A$2:$A$1000,A662,$B$2:$B$1000,"&lt;"&amp;B662)+COUNTIFS($A$2:A662,A662,$B$2:B662,B662))</f>
        <v/>
      </c>
      <c r="H662" t="str">
        <f t="shared" si="10"/>
        <v/>
      </c>
    </row>
    <row r="663" spans="1:8">
      <c r="A663" s="25" t="str">
        <f>IF('Clockify Raw'!J663="","",'Clockify Raw'!J663)</f>
        <v/>
      </c>
      <c r="B663" s="23" t="str">
        <f>IF('Clockify Raw'!K663="","",VALUE('Clockify Raw'!K663))</f>
        <v/>
      </c>
      <c r="C663" s="23" t="str">
        <f>IF('Clockify Raw'!M663="","",VALUE('Clockify Raw'!M663))</f>
        <v/>
      </c>
      <c r="D663" t="str">
        <f>IF('Clockify Raw'!A663="","",IF(LOWER('Clockify Raw'!A663)="break","Break","Work"))</f>
        <v/>
      </c>
      <c r="E663" t="str">
        <f>IF('Clockify Raw'!A663="","",IF(LOWER('Clockify Raw'!A663)="break","Break",IF('Clockify Raw'!C663&lt;&gt;"",'Clockify Raw'!C663,IF('Clockify Raw'!D663&lt;&gt;"",'Clockify Raw'!D663,'Clockify Raw'!A663))))</f>
        <v/>
      </c>
      <c r="F663" s="24" t="str">
        <f>IF('Clockify Raw'!O663="","",'Clockify Raw'!O663/24)</f>
        <v/>
      </c>
      <c r="G663" t="str">
        <f>IF(A663="","",COUNTIFS($A$2:$A$1000,A663,$B$2:$B$1000,"&lt;"&amp;B663)+COUNTIFS($A$2:A663,A663,$B$2:B663,B663))</f>
        <v/>
      </c>
      <c r="H663" t="str">
        <f t="shared" si="10"/>
        <v/>
      </c>
    </row>
    <row r="664" spans="1:8">
      <c r="A664" s="25" t="str">
        <f>IF('Clockify Raw'!J664="","",'Clockify Raw'!J664)</f>
        <v/>
      </c>
      <c r="B664" s="23" t="str">
        <f>IF('Clockify Raw'!K664="","",VALUE('Clockify Raw'!K664))</f>
        <v/>
      </c>
      <c r="C664" s="23" t="str">
        <f>IF('Clockify Raw'!M664="","",VALUE('Clockify Raw'!M664))</f>
        <v/>
      </c>
      <c r="D664" t="str">
        <f>IF('Clockify Raw'!A664="","",IF(LOWER('Clockify Raw'!A664)="break","Break","Work"))</f>
        <v/>
      </c>
      <c r="E664" t="str">
        <f>IF('Clockify Raw'!A664="","",IF(LOWER('Clockify Raw'!A664)="break","Break",IF('Clockify Raw'!C664&lt;&gt;"",'Clockify Raw'!C664,IF('Clockify Raw'!D664&lt;&gt;"",'Clockify Raw'!D664,'Clockify Raw'!A664))))</f>
        <v/>
      </c>
      <c r="F664" s="24" t="str">
        <f>IF('Clockify Raw'!O664="","",'Clockify Raw'!O664/24)</f>
        <v/>
      </c>
      <c r="G664" t="str">
        <f>IF(A664="","",COUNTIFS($A$2:$A$1000,A664,$B$2:$B$1000,"&lt;"&amp;B664)+COUNTIFS($A$2:A664,A664,$B$2:B664,B664))</f>
        <v/>
      </c>
      <c r="H664" t="str">
        <f t="shared" si="10"/>
        <v/>
      </c>
    </row>
    <row r="665" spans="1:8">
      <c r="A665" s="25" t="str">
        <f>IF('Clockify Raw'!J665="","",'Clockify Raw'!J665)</f>
        <v/>
      </c>
      <c r="B665" s="23" t="str">
        <f>IF('Clockify Raw'!K665="","",VALUE('Clockify Raw'!K665))</f>
        <v/>
      </c>
      <c r="C665" s="23" t="str">
        <f>IF('Clockify Raw'!M665="","",VALUE('Clockify Raw'!M665))</f>
        <v/>
      </c>
      <c r="D665" t="str">
        <f>IF('Clockify Raw'!A665="","",IF(LOWER('Clockify Raw'!A665)="break","Break","Work"))</f>
        <v/>
      </c>
      <c r="E665" t="str">
        <f>IF('Clockify Raw'!A665="","",IF(LOWER('Clockify Raw'!A665)="break","Break",IF('Clockify Raw'!C665&lt;&gt;"",'Clockify Raw'!C665,IF('Clockify Raw'!D665&lt;&gt;"",'Clockify Raw'!D665,'Clockify Raw'!A665))))</f>
        <v/>
      </c>
      <c r="F665" s="24" t="str">
        <f>IF('Clockify Raw'!O665="","",'Clockify Raw'!O665/24)</f>
        <v/>
      </c>
      <c r="G665" t="str">
        <f>IF(A665="","",COUNTIFS($A$2:$A$1000,A665,$B$2:$B$1000,"&lt;"&amp;B665)+COUNTIFS($A$2:A665,A665,$B$2:B665,B665))</f>
        <v/>
      </c>
      <c r="H665" t="str">
        <f t="shared" si="10"/>
        <v/>
      </c>
    </row>
    <row r="666" spans="1:8">
      <c r="A666" s="25" t="str">
        <f>IF('Clockify Raw'!J666="","",'Clockify Raw'!J666)</f>
        <v/>
      </c>
      <c r="B666" s="23" t="str">
        <f>IF('Clockify Raw'!K666="","",VALUE('Clockify Raw'!K666))</f>
        <v/>
      </c>
      <c r="C666" s="23" t="str">
        <f>IF('Clockify Raw'!M666="","",VALUE('Clockify Raw'!M666))</f>
        <v/>
      </c>
      <c r="D666" t="str">
        <f>IF('Clockify Raw'!A666="","",IF(LOWER('Clockify Raw'!A666)="break","Break","Work"))</f>
        <v/>
      </c>
      <c r="E666" t="str">
        <f>IF('Clockify Raw'!A666="","",IF(LOWER('Clockify Raw'!A666)="break","Break",IF('Clockify Raw'!C666&lt;&gt;"",'Clockify Raw'!C666,IF('Clockify Raw'!D666&lt;&gt;"",'Clockify Raw'!D666,'Clockify Raw'!A666))))</f>
        <v/>
      </c>
      <c r="F666" s="24" t="str">
        <f>IF('Clockify Raw'!O666="","",'Clockify Raw'!O666/24)</f>
        <v/>
      </c>
      <c r="G666" t="str">
        <f>IF(A666="","",COUNTIFS($A$2:$A$1000,A666,$B$2:$B$1000,"&lt;"&amp;B666)+COUNTIFS($A$2:A666,A666,$B$2:B666,B666))</f>
        <v/>
      </c>
      <c r="H666" t="str">
        <f t="shared" si="10"/>
        <v/>
      </c>
    </row>
    <row r="667" spans="1:8">
      <c r="A667" s="25" t="str">
        <f>IF('Clockify Raw'!J667="","",'Clockify Raw'!J667)</f>
        <v/>
      </c>
      <c r="B667" s="23" t="str">
        <f>IF('Clockify Raw'!K667="","",VALUE('Clockify Raw'!K667))</f>
        <v/>
      </c>
      <c r="C667" s="23" t="str">
        <f>IF('Clockify Raw'!M667="","",VALUE('Clockify Raw'!M667))</f>
        <v/>
      </c>
      <c r="D667" t="str">
        <f>IF('Clockify Raw'!A667="","",IF(LOWER('Clockify Raw'!A667)="break","Break","Work"))</f>
        <v/>
      </c>
      <c r="E667" t="str">
        <f>IF('Clockify Raw'!A667="","",IF(LOWER('Clockify Raw'!A667)="break","Break",IF('Clockify Raw'!C667&lt;&gt;"",'Clockify Raw'!C667,IF('Clockify Raw'!D667&lt;&gt;"",'Clockify Raw'!D667,'Clockify Raw'!A667))))</f>
        <v/>
      </c>
      <c r="F667" s="24" t="str">
        <f>IF('Clockify Raw'!O667="","",'Clockify Raw'!O667/24)</f>
        <v/>
      </c>
      <c r="G667" t="str">
        <f>IF(A667="","",COUNTIFS($A$2:$A$1000,A667,$B$2:$B$1000,"&lt;"&amp;B667)+COUNTIFS($A$2:A667,A667,$B$2:B667,B667))</f>
        <v/>
      </c>
      <c r="H667" t="str">
        <f t="shared" si="10"/>
        <v/>
      </c>
    </row>
    <row r="668" spans="1:8">
      <c r="A668" s="25" t="str">
        <f>IF('Clockify Raw'!J668="","",'Clockify Raw'!J668)</f>
        <v/>
      </c>
      <c r="B668" s="23" t="str">
        <f>IF('Clockify Raw'!K668="","",VALUE('Clockify Raw'!K668))</f>
        <v/>
      </c>
      <c r="C668" s="23" t="str">
        <f>IF('Clockify Raw'!M668="","",VALUE('Clockify Raw'!M668))</f>
        <v/>
      </c>
      <c r="D668" t="str">
        <f>IF('Clockify Raw'!A668="","",IF(LOWER('Clockify Raw'!A668)="break","Break","Work"))</f>
        <v/>
      </c>
      <c r="E668" t="str">
        <f>IF('Clockify Raw'!A668="","",IF(LOWER('Clockify Raw'!A668)="break","Break",IF('Clockify Raw'!C668&lt;&gt;"",'Clockify Raw'!C668,IF('Clockify Raw'!D668&lt;&gt;"",'Clockify Raw'!D668,'Clockify Raw'!A668))))</f>
        <v/>
      </c>
      <c r="F668" s="24" t="str">
        <f>IF('Clockify Raw'!O668="","",'Clockify Raw'!O668/24)</f>
        <v/>
      </c>
      <c r="G668" t="str">
        <f>IF(A668="","",COUNTIFS($A$2:$A$1000,A668,$B$2:$B$1000,"&lt;"&amp;B668)+COUNTIFS($A$2:A668,A668,$B$2:B668,B668))</f>
        <v/>
      </c>
      <c r="H668" t="str">
        <f t="shared" si="10"/>
        <v/>
      </c>
    </row>
    <row r="669" spans="1:8">
      <c r="A669" s="25" t="str">
        <f>IF('Clockify Raw'!J669="","",'Clockify Raw'!J669)</f>
        <v/>
      </c>
      <c r="B669" s="23" t="str">
        <f>IF('Clockify Raw'!K669="","",VALUE('Clockify Raw'!K669))</f>
        <v/>
      </c>
      <c r="C669" s="23" t="str">
        <f>IF('Clockify Raw'!M669="","",VALUE('Clockify Raw'!M669))</f>
        <v/>
      </c>
      <c r="D669" t="str">
        <f>IF('Clockify Raw'!A669="","",IF(LOWER('Clockify Raw'!A669)="break","Break","Work"))</f>
        <v/>
      </c>
      <c r="E669" t="str">
        <f>IF('Clockify Raw'!A669="","",IF(LOWER('Clockify Raw'!A669)="break","Break",IF('Clockify Raw'!C669&lt;&gt;"",'Clockify Raw'!C669,IF('Clockify Raw'!D669&lt;&gt;"",'Clockify Raw'!D669,'Clockify Raw'!A669))))</f>
        <v/>
      </c>
      <c r="F669" s="24" t="str">
        <f>IF('Clockify Raw'!O669="","",'Clockify Raw'!O669/24)</f>
        <v/>
      </c>
      <c r="G669" t="str">
        <f>IF(A669="","",COUNTIFS($A$2:$A$1000,A669,$B$2:$B$1000,"&lt;"&amp;B669)+COUNTIFS($A$2:A669,A669,$B$2:B669,B669))</f>
        <v/>
      </c>
      <c r="H669" t="str">
        <f t="shared" si="10"/>
        <v/>
      </c>
    </row>
    <row r="670" spans="1:8">
      <c r="A670" s="25" t="str">
        <f>IF('Clockify Raw'!J670="","",'Clockify Raw'!J670)</f>
        <v/>
      </c>
      <c r="B670" s="23" t="str">
        <f>IF('Clockify Raw'!K670="","",VALUE('Clockify Raw'!K670))</f>
        <v/>
      </c>
      <c r="C670" s="23" t="str">
        <f>IF('Clockify Raw'!M670="","",VALUE('Clockify Raw'!M670))</f>
        <v/>
      </c>
      <c r="D670" t="str">
        <f>IF('Clockify Raw'!A670="","",IF(LOWER('Clockify Raw'!A670)="break","Break","Work"))</f>
        <v/>
      </c>
      <c r="E670" t="str">
        <f>IF('Clockify Raw'!A670="","",IF(LOWER('Clockify Raw'!A670)="break","Break",IF('Clockify Raw'!C670&lt;&gt;"",'Clockify Raw'!C670,IF('Clockify Raw'!D670&lt;&gt;"",'Clockify Raw'!D670,'Clockify Raw'!A670))))</f>
        <v/>
      </c>
      <c r="F670" s="24" t="str">
        <f>IF('Clockify Raw'!O670="","",'Clockify Raw'!O670/24)</f>
        <v/>
      </c>
      <c r="G670" t="str">
        <f>IF(A670="","",COUNTIFS($A$2:$A$1000,A670,$B$2:$B$1000,"&lt;"&amp;B670)+COUNTIFS($A$2:A670,A670,$B$2:B670,B670))</f>
        <v/>
      </c>
      <c r="H670" t="str">
        <f t="shared" si="10"/>
        <v/>
      </c>
    </row>
    <row r="671" spans="1:8">
      <c r="A671" s="25" t="str">
        <f>IF('Clockify Raw'!J671="","",'Clockify Raw'!J671)</f>
        <v/>
      </c>
      <c r="B671" s="23" t="str">
        <f>IF('Clockify Raw'!K671="","",VALUE('Clockify Raw'!K671))</f>
        <v/>
      </c>
      <c r="C671" s="23" t="str">
        <f>IF('Clockify Raw'!M671="","",VALUE('Clockify Raw'!M671))</f>
        <v/>
      </c>
      <c r="D671" t="str">
        <f>IF('Clockify Raw'!A671="","",IF(LOWER('Clockify Raw'!A671)="break","Break","Work"))</f>
        <v/>
      </c>
      <c r="E671" t="str">
        <f>IF('Clockify Raw'!A671="","",IF(LOWER('Clockify Raw'!A671)="break","Break",IF('Clockify Raw'!C671&lt;&gt;"",'Clockify Raw'!C671,IF('Clockify Raw'!D671&lt;&gt;"",'Clockify Raw'!D671,'Clockify Raw'!A671))))</f>
        <v/>
      </c>
      <c r="F671" s="24" t="str">
        <f>IF('Clockify Raw'!O671="","",'Clockify Raw'!O671/24)</f>
        <v/>
      </c>
      <c r="G671" t="str">
        <f>IF(A671="","",COUNTIFS($A$2:$A$1000,A671,$B$2:$B$1000,"&lt;"&amp;B671)+COUNTIFS($A$2:A671,A671,$B$2:B671,B671))</f>
        <v/>
      </c>
      <c r="H671" t="str">
        <f t="shared" si="10"/>
        <v/>
      </c>
    </row>
    <row r="672" spans="1:8">
      <c r="A672" s="25" t="str">
        <f>IF('Clockify Raw'!J672="","",'Clockify Raw'!J672)</f>
        <v/>
      </c>
      <c r="B672" s="23" t="str">
        <f>IF('Clockify Raw'!K672="","",VALUE('Clockify Raw'!K672))</f>
        <v/>
      </c>
      <c r="C672" s="23" t="str">
        <f>IF('Clockify Raw'!M672="","",VALUE('Clockify Raw'!M672))</f>
        <v/>
      </c>
      <c r="D672" t="str">
        <f>IF('Clockify Raw'!A672="","",IF(LOWER('Clockify Raw'!A672)="break","Break","Work"))</f>
        <v/>
      </c>
      <c r="E672" t="str">
        <f>IF('Clockify Raw'!A672="","",IF(LOWER('Clockify Raw'!A672)="break","Break",IF('Clockify Raw'!C672&lt;&gt;"",'Clockify Raw'!C672,IF('Clockify Raw'!D672&lt;&gt;"",'Clockify Raw'!D672,'Clockify Raw'!A672))))</f>
        <v/>
      </c>
      <c r="F672" s="24" t="str">
        <f>IF('Clockify Raw'!O672="","",'Clockify Raw'!O672/24)</f>
        <v/>
      </c>
      <c r="G672" t="str">
        <f>IF(A672="","",COUNTIFS($A$2:$A$1000,A672,$B$2:$B$1000,"&lt;"&amp;B672)+COUNTIFS($A$2:A672,A672,$B$2:B672,B672))</f>
        <v/>
      </c>
      <c r="H672" t="str">
        <f t="shared" si="10"/>
        <v/>
      </c>
    </row>
    <row r="673" spans="1:8">
      <c r="A673" s="25" t="str">
        <f>IF('Clockify Raw'!J673="","",'Clockify Raw'!J673)</f>
        <v/>
      </c>
      <c r="B673" s="23" t="str">
        <f>IF('Clockify Raw'!K673="","",VALUE('Clockify Raw'!K673))</f>
        <v/>
      </c>
      <c r="C673" s="23" t="str">
        <f>IF('Clockify Raw'!M673="","",VALUE('Clockify Raw'!M673))</f>
        <v/>
      </c>
      <c r="D673" t="str">
        <f>IF('Clockify Raw'!A673="","",IF(LOWER('Clockify Raw'!A673)="break","Break","Work"))</f>
        <v/>
      </c>
      <c r="E673" t="str">
        <f>IF('Clockify Raw'!A673="","",IF(LOWER('Clockify Raw'!A673)="break","Break",IF('Clockify Raw'!C673&lt;&gt;"",'Clockify Raw'!C673,IF('Clockify Raw'!D673&lt;&gt;"",'Clockify Raw'!D673,'Clockify Raw'!A673))))</f>
        <v/>
      </c>
      <c r="F673" s="24" t="str">
        <f>IF('Clockify Raw'!O673="","",'Clockify Raw'!O673/24)</f>
        <v/>
      </c>
      <c r="G673" t="str">
        <f>IF(A673="","",COUNTIFS($A$2:$A$1000,A673,$B$2:$B$1000,"&lt;"&amp;B673)+COUNTIFS($A$2:A673,A673,$B$2:B673,B673))</f>
        <v/>
      </c>
      <c r="H673" t="str">
        <f t="shared" si="10"/>
        <v/>
      </c>
    </row>
    <row r="674" spans="1:8">
      <c r="A674" s="25" t="str">
        <f>IF('Clockify Raw'!J674="","",'Clockify Raw'!J674)</f>
        <v/>
      </c>
      <c r="B674" s="23" t="str">
        <f>IF('Clockify Raw'!K674="","",VALUE('Clockify Raw'!K674))</f>
        <v/>
      </c>
      <c r="C674" s="23" t="str">
        <f>IF('Clockify Raw'!M674="","",VALUE('Clockify Raw'!M674))</f>
        <v/>
      </c>
      <c r="D674" t="str">
        <f>IF('Clockify Raw'!A674="","",IF(LOWER('Clockify Raw'!A674)="break","Break","Work"))</f>
        <v/>
      </c>
      <c r="E674" t="str">
        <f>IF('Clockify Raw'!A674="","",IF(LOWER('Clockify Raw'!A674)="break","Break",IF('Clockify Raw'!C674&lt;&gt;"",'Clockify Raw'!C674,IF('Clockify Raw'!D674&lt;&gt;"",'Clockify Raw'!D674,'Clockify Raw'!A674))))</f>
        <v/>
      </c>
      <c r="F674" s="24" t="str">
        <f>IF('Clockify Raw'!O674="","",'Clockify Raw'!O674/24)</f>
        <v/>
      </c>
      <c r="G674" t="str">
        <f>IF(A674="","",COUNTIFS($A$2:$A$1000,A674,$B$2:$B$1000,"&lt;"&amp;B674)+COUNTIFS($A$2:A674,A674,$B$2:B674,B674))</f>
        <v/>
      </c>
      <c r="H674" t="str">
        <f t="shared" si="10"/>
        <v/>
      </c>
    </row>
    <row r="675" spans="1:8">
      <c r="A675" s="25" t="str">
        <f>IF('Clockify Raw'!J675="","",'Clockify Raw'!J675)</f>
        <v/>
      </c>
      <c r="B675" s="23" t="str">
        <f>IF('Clockify Raw'!K675="","",VALUE('Clockify Raw'!K675))</f>
        <v/>
      </c>
      <c r="C675" s="23" t="str">
        <f>IF('Clockify Raw'!M675="","",VALUE('Clockify Raw'!M675))</f>
        <v/>
      </c>
      <c r="D675" t="str">
        <f>IF('Clockify Raw'!A675="","",IF(LOWER('Clockify Raw'!A675)="break","Break","Work"))</f>
        <v/>
      </c>
      <c r="E675" t="str">
        <f>IF('Clockify Raw'!A675="","",IF(LOWER('Clockify Raw'!A675)="break","Break",IF('Clockify Raw'!C675&lt;&gt;"",'Clockify Raw'!C675,IF('Clockify Raw'!D675&lt;&gt;"",'Clockify Raw'!D675,'Clockify Raw'!A675))))</f>
        <v/>
      </c>
      <c r="F675" s="24" t="str">
        <f>IF('Clockify Raw'!O675="","",'Clockify Raw'!O675/24)</f>
        <v/>
      </c>
      <c r="G675" t="str">
        <f>IF(A675="","",COUNTIFS($A$2:$A$1000,A675,$B$2:$B$1000,"&lt;"&amp;B675)+COUNTIFS($A$2:A675,A675,$B$2:B675,B675))</f>
        <v/>
      </c>
      <c r="H675" t="str">
        <f t="shared" si="10"/>
        <v/>
      </c>
    </row>
    <row r="676" spans="1:8">
      <c r="A676" s="25" t="str">
        <f>IF('Clockify Raw'!J676="","",'Clockify Raw'!J676)</f>
        <v/>
      </c>
      <c r="B676" s="23" t="str">
        <f>IF('Clockify Raw'!K676="","",VALUE('Clockify Raw'!K676))</f>
        <v/>
      </c>
      <c r="C676" s="23" t="str">
        <f>IF('Clockify Raw'!M676="","",VALUE('Clockify Raw'!M676))</f>
        <v/>
      </c>
      <c r="D676" t="str">
        <f>IF('Clockify Raw'!A676="","",IF(LOWER('Clockify Raw'!A676)="break","Break","Work"))</f>
        <v/>
      </c>
      <c r="E676" t="str">
        <f>IF('Clockify Raw'!A676="","",IF(LOWER('Clockify Raw'!A676)="break","Break",IF('Clockify Raw'!C676&lt;&gt;"",'Clockify Raw'!C676,IF('Clockify Raw'!D676&lt;&gt;"",'Clockify Raw'!D676,'Clockify Raw'!A676))))</f>
        <v/>
      </c>
      <c r="F676" s="24" t="str">
        <f>IF('Clockify Raw'!O676="","",'Clockify Raw'!O676/24)</f>
        <v/>
      </c>
      <c r="G676" t="str">
        <f>IF(A676="","",COUNTIFS($A$2:$A$1000,A676,$B$2:$B$1000,"&lt;"&amp;B676)+COUNTIFS($A$2:A676,A676,$B$2:B676,B676))</f>
        <v/>
      </c>
      <c r="H676" t="str">
        <f t="shared" si="10"/>
        <v/>
      </c>
    </row>
    <row r="677" spans="1:8">
      <c r="A677" s="25" t="str">
        <f>IF('Clockify Raw'!J677="","",'Clockify Raw'!J677)</f>
        <v/>
      </c>
      <c r="B677" s="23" t="str">
        <f>IF('Clockify Raw'!K677="","",VALUE('Clockify Raw'!K677))</f>
        <v/>
      </c>
      <c r="C677" s="23" t="str">
        <f>IF('Clockify Raw'!M677="","",VALUE('Clockify Raw'!M677))</f>
        <v/>
      </c>
      <c r="D677" t="str">
        <f>IF('Clockify Raw'!A677="","",IF(LOWER('Clockify Raw'!A677)="break","Break","Work"))</f>
        <v/>
      </c>
      <c r="E677" t="str">
        <f>IF('Clockify Raw'!A677="","",IF(LOWER('Clockify Raw'!A677)="break","Break",IF('Clockify Raw'!C677&lt;&gt;"",'Clockify Raw'!C677,IF('Clockify Raw'!D677&lt;&gt;"",'Clockify Raw'!D677,'Clockify Raw'!A677))))</f>
        <v/>
      </c>
      <c r="F677" s="24" t="str">
        <f>IF('Clockify Raw'!O677="","",'Clockify Raw'!O677/24)</f>
        <v/>
      </c>
      <c r="G677" t="str">
        <f>IF(A677="","",COUNTIFS($A$2:$A$1000,A677,$B$2:$B$1000,"&lt;"&amp;B677)+COUNTIFS($A$2:A677,A677,$B$2:B677,B677))</f>
        <v/>
      </c>
      <c r="H677" t="str">
        <f t="shared" si="10"/>
        <v/>
      </c>
    </row>
    <row r="678" spans="1:8">
      <c r="A678" s="25" t="str">
        <f>IF('Clockify Raw'!J678="","",'Clockify Raw'!J678)</f>
        <v/>
      </c>
      <c r="B678" s="23" t="str">
        <f>IF('Clockify Raw'!K678="","",VALUE('Clockify Raw'!K678))</f>
        <v/>
      </c>
      <c r="C678" s="23" t="str">
        <f>IF('Clockify Raw'!M678="","",VALUE('Clockify Raw'!M678))</f>
        <v/>
      </c>
      <c r="D678" t="str">
        <f>IF('Clockify Raw'!A678="","",IF(LOWER('Clockify Raw'!A678)="break","Break","Work"))</f>
        <v/>
      </c>
      <c r="E678" t="str">
        <f>IF('Clockify Raw'!A678="","",IF(LOWER('Clockify Raw'!A678)="break","Break",IF('Clockify Raw'!C678&lt;&gt;"",'Clockify Raw'!C678,IF('Clockify Raw'!D678&lt;&gt;"",'Clockify Raw'!D678,'Clockify Raw'!A678))))</f>
        <v/>
      </c>
      <c r="F678" s="24" t="str">
        <f>IF('Clockify Raw'!O678="","",'Clockify Raw'!O678/24)</f>
        <v/>
      </c>
      <c r="G678" t="str">
        <f>IF(A678="","",COUNTIFS($A$2:$A$1000,A678,$B$2:$B$1000,"&lt;"&amp;B678)+COUNTIFS($A$2:A678,A678,$B$2:B678,B678))</f>
        <v/>
      </c>
      <c r="H678" t="str">
        <f t="shared" si="10"/>
        <v/>
      </c>
    </row>
    <row r="679" spans="1:8">
      <c r="A679" s="25" t="str">
        <f>IF('Clockify Raw'!J679="","",'Clockify Raw'!J679)</f>
        <v/>
      </c>
      <c r="B679" s="23" t="str">
        <f>IF('Clockify Raw'!K679="","",VALUE('Clockify Raw'!K679))</f>
        <v/>
      </c>
      <c r="C679" s="23" t="str">
        <f>IF('Clockify Raw'!M679="","",VALUE('Clockify Raw'!M679))</f>
        <v/>
      </c>
      <c r="D679" t="str">
        <f>IF('Clockify Raw'!A679="","",IF(LOWER('Clockify Raw'!A679)="break","Break","Work"))</f>
        <v/>
      </c>
      <c r="E679" t="str">
        <f>IF('Clockify Raw'!A679="","",IF(LOWER('Clockify Raw'!A679)="break","Break",IF('Clockify Raw'!C679&lt;&gt;"",'Clockify Raw'!C679,IF('Clockify Raw'!D679&lt;&gt;"",'Clockify Raw'!D679,'Clockify Raw'!A679))))</f>
        <v/>
      </c>
      <c r="F679" s="24" t="str">
        <f>IF('Clockify Raw'!O679="","",'Clockify Raw'!O679/24)</f>
        <v/>
      </c>
      <c r="G679" t="str">
        <f>IF(A679="","",COUNTIFS($A$2:$A$1000,A679,$B$2:$B$1000,"&lt;"&amp;B679)+COUNTIFS($A$2:A679,A679,$B$2:B679,B679))</f>
        <v/>
      </c>
      <c r="H679" t="str">
        <f t="shared" si="10"/>
        <v/>
      </c>
    </row>
    <row r="680" spans="1:8">
      <c r="A680" s="25" t="str">
        <f>IF('Clockify Raw'!J680="","",'Clockify Raw'!J680)</f>
        <v/>
      </c>
      <c r="B680" s="23" t="str">
        <f>IF('Clockify Raw'!K680="","",VALUE('Clockify Raw'!K680))</f>
        <v/>
      </c>
      <c r="C680" s="23" t="str">
        <f>IF('Clockify Raw'!M680="","",VALUE('Clockify Raw'!M680))</f>
        <v/>
      </c>
      <c r="D680" t="str">
        <f>IF('Clockify Raw'!A680="","",IF(LOWER('Clockify Raw'!A680)="break","Break","Work"))</f>
        <v/>
      </c>
      <c r="E680" t="str">
        <f>IF('Clockify Raw'!A680="","",IF(LOWER('Clockify Raw'!A680)="break","Break",IF('Clockify Raw'!C680&lt;&gt;"",'Clockify Raw'!C680,IF('Clockify Raw'!D680&lt;&gt;"",'Clockify Raw'!D680,'Clockify Raw'!A680))))</f>
        <v/>
      </c>
      <c r="F680" s="24" t="str">
        <f>IF('Clockify Raw'!O680="","",'Clockify Raw'!O680/24)</f>
        <v/>
      </c>
      <c r="G680" t="str">
        <f>IF(A680="","",COUNTIFS($A$2:$A$1000,A680,$B$2:$B$1000,"&lt;"&amp;B680)+COUNTIFS($A$2:A680,A680,$B$2:B680,B680))</f>
        <v/>
      </c>
      <c r="H680" t="str">
        <f t="shared" si="10"/>
        <v/>
      </c>
    </row>
    <row r="681" spans="1:8">
      <c r="A681" s="25" t="str">
        <f>IF('Clockify Raw'!J681="","",'Clockify Raw'!J681)</f>
        <v/>
      </c>
      <c r="B681" s="23" t="str">
        <f>IF('Clockify Raw'!K681="","",VALUE('Clockify Raw'!K681))</f>
        <v/>
      </c>
      <c r="C681" s="23" t="str">
        <f>IF('Clockify Raw'!M681="","",VALUE('Clockify Raw'!M681))</f>
        <v/>
      </c>
      <c r="D681" t="str">
        <f>IF('Clockify Raw'!A681="","",IF(LOWER('Clockify Raw'!A681)="break","Break","Work"))</f>
        <v/>
      </c>
      <c r="E681" t="str">
        <f>IF('Clockify Raw'!A681="","",IF(LOWER('Clockify Raw'!A681)="break","Break",IF('Clockify Raw'!C681&lt;&gt;"",'Clockify Raw'!C681,IF('Clockify Raw'!D681&lt;&gt;"",'Clockify Raw'!D681,'Clockify Raw'!A681))))</f>
        <v/>
      </c>
      <c r="F681" s="24" t="str">
        <f>IF('Clockify Raw'!O681="","",'Clockify Raw'!O681/24)</f>
        <v/>
      </c>
      <c r="G681" t="str">
        <f>IF(A681="","",COUNTIFS($A$2:$A$1000,A681,$B$2:$B$1000,"&lt;"&amp;B681)+COUNTIFS($A$2:A681,A681,$B$2:B681,B681))</f>
        <v/>
      </c>
      <c r="H681" t="str">
        <f t="shared" si="10"/>
        <v/>
      </c>
    </row>
    <row r="682" spans="1:8">
      <c r="A682" s="25" t="str">
        <f>IF('Clockify Raw'!J682="","",'Clockify Raw'!J682)</f>
        <v/>
      </c>
      <c r="B682" s="23" t="str">
        <f>IF('Clockify Raw'!K682="","",VALUE('Clockify Raw'!K682))</f>
        <v/>
      </c>
      <c r="C682" s="23" t="str">
        <f>IF('Clockify Raw'!M682="","",VALUE('Clockify Raw'!M682))</f>
        <v/>
      </c>
      <c r="D682" t="str">
        <f>IF('Clockify Raw'!A682="","",IF(LOWER('Clockify Raw'!A682)="break","Break","Work"))</f>
        <v/>
      </c>
      <c r="E682" t="str">
        <f>IF('Clockify Raw'!A682="","",IF(LOWER('Clockify Raw'!A682)="break","Break",IF('Clockify Raw'!C682&lt;&gt;"",'Clockify Raw'!C682,IF('Clockify Raw'!D682&lt;&gt;"",'Clockify Raw'!D682,'Clockify Raw'!A682))))</f>
        <v/>
      </c>
      <c r="F682" s="24" t="str">
        <f>IF('Clockify Raw'!O682="","",'Clockify Raw'!O682/24)</f>
        <v/>
      </c>
      <c r="G682" t="str">
        <f>IF(A682="","",COUNTIFS($A$2:$A$1000,A682,$B$2:$B$1000,"&lt;"&amp;B682)+COUNTIFS($A$2:A682,A682,$B$2:B682,B682))</f>
        <v/>
      </c>
      <c r="H682" t="str">
        <f t="shared" si="10"/>
        <v/>
      </c>
    </row>
    <row r="683" spans="1:8">
      <c r="A683" s="25" t="str">
        <f>IF('Clockify Raw'!J683="","",'Clockify Raw'!J683)</f>
        <v/>
      </c>
      <c r="B683" s="23" t="str">
        <f>IF('Clockify Raw'!K683="","",VALUE('Clockify Raw'!K683))</f>
        <v/>
      </c>
      <c r="C683" s="23" t="str">
        <f>IF('Clockify Raw'!M683="","",VALUE('Clockify Raw'!M683))</f>
        <v/>
      </c>
      <c r="D683" t="str">
        <f>IF('Clockify Raw'!A683="","",IF(LOWER('Clockify Raw'!A683)="break","Break","Work"))</f>
        <v/>
      </c>
      <c r="E683" t="str">
        <f>IF('Clockify Raw'!A683="","",IF(LOWER('Clockify Raw'!A683)="break","Break",IF('Clockify Raw'!C683&lt;&gt;"",'Clockify Raw'!C683,IF('Clockify Raw'!D683&lt;&gt;"",'Clockify Raw'!D683,'Clockify Raw'!A683))))</f>
        <v/>
      </c>
      <c r="F683" s="24" t="str">
        <f>IF('Clockify Raw'!O683="","",'Clockify Raw'!O683/24)</f>
        <v/>
      </c>
      <c r="G683" t="str">
        <f>IF(A683="","",COUNTIFS($A$2:$A$1000,A683,$B$2:$B$1000,"&lt;"&amp;B683)+COUNTIFS($A$2:A683,A683,$B$2:B683,B683))</f>
        <v/>
      </c>
      <c r="H683" t="str">
        <f t="shared" si="10"/>
        <v/>
      </c>
    </row>
    <row r="684" spans="1:8">
      <c r="A684" s="25" t="str">
        <f>IF('Clockify Raw'!J684="","",'Clockify Raw'!J684)</f>
        <v/>
      </c>
      <c r="B684" s="23" t="str">
        <f>IF('Clockify Raw'!K684="","",VALUE('Clockify Raw'!K684))</f>
        <v/>
      </c>
      <c r="C684" s="23" t="str">
        <f>IF('Clockify Raw'!M684="","",VALUE('Clockify Raw'!M684))</f>
        <v/>
      </c>
      <c r="D684" t="str">
        <f>IF('Clockify Raw'!A684="","",IF(LOWER('Clockify Raw'!A684)="break","Break","Work"))</f>
        <v/>
      </c>
      <c r="E684" t="str">
        <f>IF('Clockify Raw'!A684="","",IF(LOWER('Clockify Raw'!A684)="break","Break",IF('Clockify Raw'!C684&lt;&gt;"",'Clockify Raw'!C684,IF('Clockify Raw'!D684&lt;&gt;"",'Clockify Raw'!D684,'Clockify Raw'!A684))))</f>
        <v/>
      </c>
      <c r="F684" s="24" t="str">
        <f>IF('Clockify Raw'!O684="","",'Clockify Raw'!O684/24)</f>
        <v/>
      </c>
      <c r="G684" t="str">
        <f>IF(A684="","",COUNTIFS($A$2:$A$1000,A684,$B$2:$B$1000,"&lt;"&amp;B684)+COUNTIFS($A$2:A684,A684,$B$2:B684,B684))</f>
        <v/>
      </c>
      <c r="H684" t="str">
        <f t="shared" si="10"/>
        <v/>
      </c>
    </row>
    <row r="685" spans="1:8">
      <c r="A685" s="25" t="str">
        <f>IF('Clockify Raw'!J685="","",'Clockify Raw'!J685)</f>
        <v/>
      </c>
      <c r="B685" s="23" t="str">
        <f>IF('Clockify Raw'!K685="","",VALUE('Clockify Raw'!K685))</f>
        <v/>
      </c>
      <c r="C685" s="23" t="str">
        <f>IF('Clockify Raw'!M685="","",VALUE('Clockify Raw'!M685))</f>
        <v/>
      </c>
      <c r="D685" t="str">
        <f>IF('Clockify Raw'!A685="","",IF(LOWER('Clockify Raw'!A685)="break","Break","Work"))</f>
        <v/>
      </c>
      <c r="E685" t="str">
        <f>IF('Clockify Raw'!A685="","",IF(LOWER('Clockify Raw'!A685)="break","Break",IF('Clockify Raw'!C685&lt;&gt;"",'Clockify Raw'!C685,IF('Clockify Raw'!D685&lt;&gt;"",'Clockify Raw'!D685,'Clockify Raw'!A685))))</f>
        <v/>
      </c>
      <c r="F685" s="24" t="str">
        <f>IF('Clockify Raw'!O685="","",'Clockify Raw'!O685/24)</f>
        <v/>
      </c>
      <c r="G685" t="str">
        <f>IF(A685="","",COUNTIFS($A$2:$A$1000,A685,$B$2:$B$1000,"&lt;"&amp;B685)+COUNTIFS($A$2:A685,A685,$B$2:B685,B685))</f>
        <v/>
      </c>
      <c r="H685" t="str">
        <f t="shared" si="10"/>
        <v/>
      </c>
    </row>
    <row r="686" spans="1:8">
      <c r="A686" s="25" t="str">
        <f>IF('Clockify Raw'!J686="","",'Clockify Raw'!J686)</f>
        <v/>
      </c>
      <c r="B686" s="23" t="str">
        <f>IF('Clockify Raw'!K686="","",VALUE('Clockify Raw'!K686))</f>
        <v/>
      </c>
      <c r="C686" s="23" t="str">
        <f>IF('Clockify Raw'!M686="","",VALUE('Clockify Raw'!M686))</f>
        <v/>
      </c>
      <c r="D686" t="str">
        <f>IF('Clockify Raw'!A686="","",IF(LOWER('Clockify Raw'!A686)="break","Break","Work"))</f>
        <v/>
      </c>
      <c r="E686" t="str">
        <f>IF('Clockify Raw'!A686="","",IF(LOWER('Clockify Raw'!A686)="break","Break",IF('Clockify Raw'!C686&lt;&gt;"",'Clockify Raw'!C686,IF('Clockify Raw'!D686&lt;&gt;"",'Clockify Raw'!D686,'Clockify Raw'!A686))))</f>
        <v/>
      </c>
      <c r="F686" s="24" t="str">
        <f>IF('Clockify Raw'!O686="","",'Clockify Raw'!O686/24)</f>
        <v/>
      </c>
      <c r="G686" t="str">
        <f>IF(A686="","",COUNTIFS($A$2:$A$1000,A686,$B$2:$B$1000,"&lt;"&amp;B686)+COUNTIFS($A$2:A686,A686,$B$2:B686,B686))</f>
        <v/>
      </c>
      <c r="H686" t="str">
        <f t="shared" si="10"/>
        <v/>
      </c>
    </row>
    <row r="687" spans="1:8">
      <c r="A687" s="25" t="str">
        <f>IF('Clockify Raw'!J687="","",'Clockify Raw'!J687)</f>
        <v/>
      </c>
      <c r="B687" s="23" t="str">
        <f>IF('Clockify Raw'!K687="","",VALUE('Clockify Raw'!K687))</f>
        <v/>
      </c>
      <c r="C687" s="23" t="str">
        <f>IF('Clockify Raw'!M687="","",VALUE('Clockify Raw'!M687))</f>
        <v/>
      </c>
      <c r="D687" t="str">
        <f>IF('Clockify Raw'!A687="","",IF(LOWER('Clockify Raw'!A687)="break","Break","Work"))</f>
        <v/>
      </c>
      <c r="E687" t="str">
        <f>IF('Clockify Raw'!A687="","",IF(LOWER('Clockify Raw'!A687)="break","Break",IF('Clockify Raw'!C687&lt;&gt;"",'Clockify Raw'!C687,IF('Clockify Raw'!D687&lt;&gt;"",'Clockify Raw'!D687,'Clockify Raw'!A687))))</f>
        <v/>
      </c>
      <c r="F687" s="24" t="str">
        <f>IF('Clockify Raw'!O687="","",'Clockify Raw'!O687/24)</f>
        <v/>
      </c>
      <c r="G687" t="str">
        <f>IF(A687="","",COUNTIFS($A$2:$A$1000,A687,$B$2:$B$1000,"&lt;"&amp;B687)+COUNTIFS($A$2:A687,A687,$B$2:B687,B687))</f>
        <v/>
      </c>
      <c r="H687" t="str">
        <f t="shared" si="10"/>
        <v/>
      </c>
    </row>
    <row r="688" spans="1:8">
      <c r="A688" s="25" t="str">
        <f>IF('Clockify Raw'!J688="","",'Clockify Raw'!J688)</f>
        <v/>
      </c>
      <c r="B688" s="23" t="str">
        <f>IF('Clockify Raw'!K688="","",VALUE('Clockify Raw'!K688))</f>
        <v/>
      </c>
      <c r="C688" s="23" t="str">
        <f>IF('Clockify Raw'!M688="","",VALUE('Clockify Raw'!M688))</f>
        <v/>
      </c>
      <c r="D688" t="str">
        <f>IF('Clockify Raw'!A688="","",IF(LOWER('Clockify Raw'!A688)="break","Break","Work"))</f>
        <v/>
      </c>
      <c r="E688" t="str">
        <f>IF('Clockify Raw'!A688="","",IF(LOWER('Clockify Raw'!A688)="break","Break",IF('Clockify Raw'!C688&lt;&gt;"",'Clockify Raw'!C688,IF('Clockify Raw'!D688&lt;&gt;"",'Clockify Raw'!D688,'Clockify Raw'!A688))))</f>
        <v/>
      </c>
      <c r="F688" s="24" t="str">
        <f>IF('Clockify Raw'!O688="","",'Clockify Raw'!O688/24)</f>
        <v/>
      </c>
      <c r="G688" t="str">
        <f>IF(A688="","",COUNTIFS($A$2:$A$1000,A688,$B$2:$B$1000,"&lt;"&amp;B688)+COUNTIFS($A$2:A688,A688,$B$2:B688,B688))</f>
        <v/>
      </c>
      <c r="H688" t="str">
        <f t="shared" si="10"/>
        <v/>
      </c>
    </row>
    <row r="689" spans="1:8">
      <c r="A689" s="25" t="str">
        <f>IF('Clockify Raw'!J689="","",'Clockify Raw'!J689)</f>
        <v/>
      </c>
      <c r="B689" s="23" t="str">
        <f>IF('Clockify Raw'!K689="","",VALUE('Clockify Raw'!K689))</f>
        <v/>
      </c>
      <c r="C689" s="23" t="str">
        <f>IF('Clockify Raw'!M689="","",VALUE('Clockify Raw'!M689))</f>
        <v/>
      </c>
      <c r="D689" t="str">
        <f>IF('Clockify Raw'!A689="","",IF(LOWER('Clockify Raw'!A689)="break","Break","Work"))</f>
        <v/>
      </c>
      <c r="E689" t="str">
        <f>IF('Clockify Raw'!A689="","",IF(LOWER('Clockify Raw'!A689)="break","Break",IF('Clockify Raw'!C689&lt;&gt;"",'Clockify Raw'!C689,IF('Clockify Raw'!D689&lt;&gt;"",'Clockify Raw'!D689,'Clockify Raw'!A689))))</f>
        <v/>
      </c>
      <c r="F689" s="24" t="str">
        <f>IF('Clockify Raw'!O689="","",'Clockify Raw'!O689/24)</f>
        <v/>
      </c>
      <c r="G689" t="str">
        <f>IF(A689="","",COUNTIFS($A$2:$A$1000,A689,$B$2:$B$1000,"&lt;"&amp;B689)+COUNTIFS($A$2:A689,A689,$B$2:B689,B689))</f>
        <v/>
      </c>
      <c r="H689" t="str">
        <f t="shared" si="10"/>
        <v/>
      </c>
    </row>
    <row r="690" spans="1:8">
      <c r="A690" s="25" t="str">
        <f>IF('Clockify Raw'!J690="","",'Clockify Raw'!J690)</f>
        <v/>
      </c>
      <c r="B690" s="23" t="str">
        <f>IF('Clockify Raw'!K690="","",VALUE('Clockify Raw'!K690))</f>
        <v/>
      </c>
      <c r="C690" s="23" t="str">
        <f>IF('Clockify Raw'!M690="","",VALUE('Clockify Raw'!M690))</f>
        <v/>
      </c>
      <c r="D690" t="str">
        <f>IF('Clockify Raw'!A690="","",IF(LOWER('Clockify Raw'!A690)="break","Break","Work"))</f>
        <v/>
      </c>
      <c r="E690" t="str">
        <f>IF('Clockify Raw'!A690="","",IF(LOWER('Clockify Raw'!A690)="break","Break",IF('Clockify Raw'!C690&lt;&gt;"",'Clockify Raw'!C690,IF('Clockify Raw'!D690&lt;&gt;"",'Clockify Raw'!D690,'Clockify Raw'!A690))))</f>
        <v/>
      </c>
      <c r="F690" s="24" t="str">
        <f>IF('Clockify Raw'!O690="","",'Clockify Raw'!O690/24)</f>
        <v/>
      </c>
      <c r="G690" t="str">
        <f>IF(A690="","",COUNTIFS($A$2:$A$1000,A690,$B$2:$B$1000,"&lt;"&amp;B690)+COUNTIFS($A$2:A690,A690,$B$2:B690,B690))</f>
        <v/>
      </c>
      <c r="H690" t="str">
        <f t="shared" si="10"/>
        <v/>
      </c>
    </row>
    <row r="691" spans="1:8">
      <c r="A691" s="25" t="str">
        <f>IF('Clockify Raw'!J691="","",'Clockify Raw'!J691)</f>
        <v/>
      </c>
      <c r="B691" s="23" t="str">
        <f>IF('Clockify Raw'!K691="","",VALUE('Clockify Raw'!K691))</f>
        <v/>
      </c>
      <c r="C691" s="23" t="str">
        <f>IF('Clockify Raw'!M691="","",VALUE('Clockify Raw'!M691))</f>
        <v/>
      </c>
      <c r="D691" t="str">
        <f>IF('Clockify Raw'!A691="","",IF(LOWER('Clockify Raw'!A691)="break","Break","Work"))</f>
        <v/>
      </c>
      <c r="E691" t="str">
        <f>IF('Clockify Raw'!A691="","",IF(LOWER('Clockify Raw'!A691)="break","Break",IF('Clockify Raw'!C691&lt;&gt;"",'Clockify Raw'!C691,IF('Clockify Raw'!D691&lt;&gt;"",'Clockify Raw'!D691,'Clockify Raw'!A691))))</f>
        <v/>
      </c>
      <c r="F691" s="24" t="str">
        <f>IF('Clockify Raw'!O691="","",'Clockify Raw'!O691/24)</f>
        <v/>
      </c>
      <c r="G691" t="str">
        <f>IF(A691="","",COUNTIFS($A$2:$A$1000,A691,$B$2:$B$1000,"&lt;"&amp;B691)+COUNTIFS($A$2:A691,A691,$B$2:B691,B691))</f>
        <v/>
      </c>
      <c r="H691" t="str">
        <f t="shared" si="10"/>
        <v/>
      </c>
    </row>
    <row r="692" spans="1:8">
      <c r="A692" s="25" t="str">
        <f>IF('Clockify Raw'!J692="","",'Clockify Raw'!J692)</f>
        <v/>
      </c>
      <c r="B692" s="23" t="str">
        <f>IF('Clockify Raw'!K692="","",VALUE('Clockify Raw'!K692))</f>
        <v/>
      </c>
      <c r="C692" s="23" t="str">
        <f>IF('Clockify Raw'!M692="","",VALUE('Clockify Raw'!M692))</f>
        <v/>
      </c>
      <c r="D692" t="str">
        <f>IF('Clockify Raw'!A692="","",IF(LOWER('Clockify Raw'!A692)="break","Break","Work"))</f>
        <v/>
      </c>
      <c r="E692" t="str">
        <f>IF('Clockify Raw'!A692="","",IF(LOWER('Clockify Raw'!A692)="break","Break",IF('Clockify Raw'!C692&lt;&gt;"",'Clockify Raw'!C692,IF('Clockify Raw'!D692&lt;&gt;"",'Clockify Raw'!D692,'Clockify Raw'!A692))))</f>
        <v/>
      </c>
      <c r="F692" s="24" t="str">
        <f>IF('Clockify Raw'!O692="","",'Clockify Raw'!O692/24)</f>
        <v/>
      </c>
      <c r="G692" t="str">
        <f>IF(A692="","",COUNTIFS($A$2:$A$1000,A692,$B$2:$B$1000,"&lt;"&amp;B692)+COUNTIFS($A$2:A692,A692,$B$2:B692,B692))</f>
        <v/>
      </c>
      <c r="H692" t="str">
        <f t="shared" si="10"/>
        <v/>
      </c>
    </row>
    <row r="693" spans="1:8">
      <c r="A693" s="25" t="str">
        <f>IF('Clockify Raw'!J693="","",'Clockify Raw'!J693)</f>
        <v/>
      </c>
      <c r="B693" s="23" t="str">
        <f>IF('Clockify Raw'!K693="","",VALUE('Clockify Raw'!K693))</f>
        <v/>
      </c>
      <c r="C693" s="23" t="str">
        <f>IF('Clockify Raw'!M693="","",VALUE('Clockify Raw'!M693))</f>
        <v/>
      </c>
      <c r="D693" t="str">
        <f>IF('Clockify Raw'!A693="","",IF(LOWER('Clockify Raw'!A693)="break","Break","Work"))</f>
        <v/>
      </c>
      <c r="E693" t="str">
        <f>IF('Clockify Raw'!A693="","",IF(LOWER('Clockify Raw'!A693)="break","Break",IF('Clockify Raw'!C693&lt;&gt;"",'Clockify Raw'!C693,IF('Clockify Raw'!D693&lt;&gt;"",'Clockify Raw'!D693,'Clockify Raw'!A693))))</f>
        <v/>
      </c>
      <c r="F693" s="24" t="str">
        <f>IF('Clockify Raw'!O693="","",'Clockify Raw'!O693/24)</f>
        <v/>
      </c>
      <c r="G693" t="str">
        <f>IF(A693="","",COUNTIFS($A$2:$A$1000,A693,$B$2:$B$1000,"&lt;"&amp;B693)+COUNTIFS($A$2:A693,A693,$B$2:B693,B693))</f>
        <v/>
      </c>
      <c r="H693" t="str">
        <f t="shared" si="10"/>
        <v/>
      </c>
    </row>
    <row r="694" spans="1:8">
      <c r="A694" s="25" t="str">
        <f>IF('Clockify Raw'!J694="","",'Clockify Raw'!J694)</f>
        <v/>
      </c>
      <c r="B694" s="23" t="str">
        <f>IF('Clockify Raw'!K694="","",VALUE('Clockify Raw'!K694))</f>
        <v/>
      </c>
      <c r="C694" s="23" t="str">
        <f>IF('Clockify Raw'!M694="","",VALUE('Clockify Raw'!M694))</f>
        <v/>
      </c>
      <c r="D694" t="str">
        <f>IF('Clockify Raw'!A694="","",IF(LOWER('Clockify Raw'!A694)="break","Break","Work"))</f>
        <v/>
      </c>
      <c r="E694" t="str">
        <f>IF('Clockify Raw'!A694="","",IF(LOWER('Clockify Raw'!A694)="break","Break",IF('Clockify Raw'!C694&lt;&gt;"",'Clockify Raw'!C694,IF('Clockify Raw'!D694&lt;&gt;"",'Clockify Raw'!D694,'Clockify Raw'!A694))))</f>
        <v/>
      </c>
      <c r="F694" s="24" t="str">
        <f>IF('Clockify Raw'!O694="","",'Clockify Raw'!O694/24)</f>
        <v/>
      </c>
      <c r="G694" t="str">
        <f>IF(A694="","",COUNTIFS($A$2:$A$1000,A694,$B$2:$B$1000,"&lt;"&amp;B694)+COUNTIFS($A$2:A694,A694,$B$2:B694,B694))</f>
        <v/>
      </c>
      <c r="H694" t="str">
        <f t="shared" si="10"/>
        <v/>
      </c>
    </row>
    <row r="695" spans="1:8">
      <c r="A695" s="25" t="str">
        <f>IF('Clockify Raw'!J695="","",'Clockify Raw'!J695)</f>
        <v/>
      </c>
      <c r="B695" s="23" t="str">
        <f>IF('Clockify Raw'!K695="","",VALUE('Clockify Raw'!K695))</f>
        <v/>
      </c>
      <c r="C695" s="23" t="str">
        <f>IF('Clockify Raw'!M695="","",VALUE('Clockify Raw'!M695))</f>
        <v/>
      </c>
      <c r="D695" t="str">
        <f>IF('Clockify Raw'!A695="","",IF(LOWER('Clockify Raw'!A695)="break","Break","Work"))</f>
        <v/>
      </c>
      <c r="E695" t="str">
        <f>IF('Clockify Raw'!A695="","",IF(LOWER('Clockify Raw'!A695)="break","Break",IF('Clockify Raw'!C695&lt;&gt;"",'Clockify Raw'!C695,IF('Clockify Raw'!D695&lt;&gt;"",'Clockify Raw'!D695,'Clockify Raw'!A695))))</f>
        <v/>
      </c>
      <c r="F695" s="24" t="str">
        <f>IF('Clockify Raw'!O695="","",'Clockify Raw'!O695/24)</f>
        <v/>
      </c>
      <c r="G695" t="str">
        <f>IF(A695="","",COUNTIFS($A$2:$A$1000,A695,$B$2:$B$1000,"&lt;"&amp;B695)+COUNTIFS($A$2:A695,A695,$B$2:B695,B695))</f>
        <v/>
      </c>
      <c r="H695" t="str">
        <f t="shared" si="10"/>
        <v/>
      </c>
    </row>
    <row r="696" spans="1:8">
      <c r="A696" s="25" t="str">
        <f>IF('Clockify Raw'!J696="","",'Clockify Raw'!J696)</f>
        <v/>
      </c>
      <c r="B696" s="23" t="str">
        <f>IF('Clockify Raw'!K696="","",VALUE('Clockify Raw'!K696))</f>
        <v/>
      </c>
      <c r="C696" s="23" t="str">
        <f>IF('Clockify Raw'!M696="","",VALUE('Clockify Raw'!M696))</f>
        <v/>
      </c>
      <c r="D696" t="str">
        <f>IF('Clockify Raw'!A696="","",IF(LOWER('Clockify Raw'!A696)="break","Break","Work"))</f>
        <v/>
      </c>
      <c r="E696" t="str">
        <f>IF('Clockify Raw'!A696="","",IF(LOWER('Clockify Raw'!A696)="break","Break",IF('Clockify Raw'!C696&lt;&gt;"",'Clockify Raw'!C696,IF('Clockify Raw'!D696&lt;&gt;"",'Clockify Raw'!D696,'Clockify Raw'!A696))))</f>
        <v/>
      </c>
      <c r="F696" s="24" t="str">
        <f>IF('Clockify Raw'!O696="","",'Clockify Raw'!O696/24)</f>
        <v/>
      </c>
      <c r="G696" t="str">
        <f>IF(A696="","",COUNTIFS($A$2:$A$1000,A696,$B$2:$B$1000,"&lt;"&amp;B696)+COUNTIFS($A$2:A696,A696,$B$2:B696,B696))</f>
        <v/>
      </c>
      <c r="H696" t="str">
        <f t="shared" si="10"/>
        <v/>
      </c>
    </row>
    <row r="697" spans="1:8">
      <c r="A697" s="25" t="str">
        <f>IF('Clockify Raw'!J697="","",'Clockify Raw'!J697)</f>
        <v/>
      </c>
      <c r="B697" s="23" t="str">
        <f>IF('Clockify Raw'!K697="","",VALUE('Clockify Raw'!K697))</f>
        <v/>
      </c>
      <c r="C697" s="23" t="str">
        <f>IF('Clockify Raw'!M697="","",VALUE('Clockify Raw'!M697))</f>
        <v/>
      </c>
      <c r="D697" t="str">
        <f>IF('Clockify Raw'!A697="","",IF(LOWER('Clockify Raw'!A697)="break","Break","Work"))</f>
        <v/>
      </c>
      <c r="E697" t="str">
        <f>IF('Clockify Raw'!A697="","",IF(LOWER('Clockify Raw'!A697)="break","Break",IF('Clockify Raw'!C697&lt;&gt;"",'Clockify Raw'!C697,IF('Clockify Raw'!D697&lt;&gt;"",'Clockify Raw'!D697,'Clockify Raw'!A697))))</f>
        <v/>
      </c>
      <c r="F697" s="24" t="str">
        <f>IF('Clockify Raw'!O697="","",'Clockify Raw'!O697/24)</f>
        <v/>
      </c>
      <c r="G697" t="str">
        <f>IF(A697="","",COUNTIFS($A$2:$A$1000,A697,$B$2:$B$1000,"&lt;"&amp;B697)+COUNTIFS($A$2:A697,A697,$B$2:B697,B697))</f>
        <v/>
      </c>
      <c r="H697" t="str">
        <f t="shared" si="10"/>
        <v/>
      </c>
    </row>
    <row r="698" spans="1:8">
      <c r="A698" s="25" t="str">
        <f>IF('Clockify Raw'!J698="","",'Clockify Raw'!J698)</f>
        <v/>
      </c>
      <c r="B698" s="23" t="str">
        <f>IF('Clockify Raw'!K698="","",VALUE('Clockify Raw'!K698))</f>
        <v/>
      </c>
      <c r="C698" s="23" t="str">
        <f>IF('Clockify Raw'!M698="","",VALUE('Clockify Raw'!M698))</f>
        <v/>
      </c>
      <c r="D698" t="str">
        <f>IF('Clockify Raw'!A698="","",IF(LOWER('Clockify Raw'!A698)="break","Break","Work"))</f>
        <v/>
      </c>
      <c r="E698" t="str">
        <f>IF('Clockify Raw'!A698="","",IF(LOWER('Clockify Raw'!A698)="break","Break",IF('Clockify Raw'!C698&lt;&gt;"",'Clockify Raw'!C698,IF('Clockify Raw'!D698&lt;&gt;"",'Clockify Raw'!D698,'Clockify Raw'!A698))))</f>
        <v/>
      </c>
      <c r="F698" s="24" t="str">
        <f>IF('Clockify Raw'!O698="","",'Clockify Raw'!O698/24)</f>
        <v/>
      </c>
      <c r="G698" t="str">
        <f>IF(A698="","",COUNTIFS($A$2:$A$1000,A698,$B$2:$B$1000,"&lt;"&amp;B698)+COUNTIFS($A$2:A698,A698,$B$2:B698,B698))</f>
        <v/>
      </c>
      <c r="H698" t="str">
        <f t="shared" si="10"/>
        <v/>
      </c>
    </row>
    <row r="699" spans="1:8">
      <c r="A699" s="25" t="str">
        <f>IF('Clockify Raw'!J699="","",'Clockify Raw'!J699)</f>
        <v/>
      </c>
      <c r="B699" s="23" t="str">
        <f>IF('Clockify Raw'!K699="","",VALUE('Clockify Raw'!K699))</f>
        <v/>
      </c>
      <c r="C699" s="23" t="str">
        <f>IF('Clockify Raw'!M699="","",VALUE('Clockify Raw'!M699))</f>
        <v/>
      </c>
      <c r="D699" t="str">
        <f>IF('Clockify Raw'!A699="","",IF(LOWER('Clockify Raw'!A699)="break","Break","Work"))</f>
        <v/>
      </c>
      <c r="E699" t="str">
        <f>IF('Clockify Raw'!A699="","",IF(LOWER('Clockify Raw'!A699)="break","Break",IF('Clockify Raw'!C699&lt;&gt;"",'Clockify Raw'!C699,IF('Clockify Raw'!D699&lt;&gt;"",'Clockify Raw'!D699,'Clockify Raw'!A699))))</f>
        <v/>
      </c>
      <c r="F699" s="24" t="str">
        <f>IF('Clockify Raw'!O699="","",'Clockify Raw'!O699/24)</f>
        <v/>
      </c>
      <c r="G699" t="str">
        <f>IF(A699="","",COUNTIFS($A$2:$A$1000,A699,$B$2:$B$1000,"&lt;"&amp;B699)+COUNTIFS($A$2:A699,A699,$B$2:B699,B699))</f>
        <v/>
      </c>
      <c r="H699" t="str">
        <f t="shared" si="10"/>
        <v/>
      </c>
    </row>
    <row r="700" spans="1:8">
      <c r="A700" s="25" t="str">
        <f>IF('Clockify Raw'!J700="","",'Clockify Raw'!J700)</f>
        <v/>
      </c>
      <c r="B700" s="23" t="str">
        <f>IF('Clockify Raw'!K700="","",VALUE('Clockify Raw'!K700))</f>
        <v/>
      </c>
      <c r="C700" s="23" t="str">
        <f>IF('Clockify Raw'!M700="","",VALUE('Clockify Raw'!M700))</f>
        <v/>
      </c>
      <c r="D700" t="str">
        <f>IF('Clockify Raw'!A700="","",IF(LOWER('Clockify Raw'!A700)="break","Break","Work"))</f>
        <v/>
      </c>
      <c r="E700" t="str">
        <f>IF('Clockify Raw'!A700="","",IF(LOWER('Clockify Raw'!A700)="break","Break",IF('Clockify Raw'!C700&lt;&gt;"",'Clockify Raw'!C700,IF('Clockify Raw'!D700&lt;&gt;"",'Clockify Raw'!D700,'Clockify Raw'!A700))))</f>
        <v/>
      </c>
      <c r="F700" s="24" t="str">
        <f>IF('Clockify Raw'!O700="","",'Clockify Raw'!O700/24)</f>
        <v/>
      </c>
      <c r="G700" t="str">
        <f>IF(A700="","",COUNTIFS($A$2:$A$1000,A700,$B$2:$B$1000,"&lt;"&amp;B700)+COUNTIFS($A$2:A700,A700,$B$2:B700,B700))</f>
        <v/>
      </c>
      <c r="H700" t="str">
        <f t="shared" si="10"/>
        <v/>
      </c>
    </row>
    <row r="701" spans="1:8">
      <c r="A701" s="25" t="str">
        <f>IF('Clockify Raw'!J701="","",'Clockify Raw'!J701)</f>
        <v/>
      </c>
      <c r="B701" s="23" t="str">
        <f>IF('Clockify Raw'!K701="","",VALUE('Clockify Raw'!K701))</f>
        <v/>
      </c>
      <c r="C701" s="23" t="str">
        <f>IF('Clockify Raw'!M701="","",VALUE('Clockify Raw'!M701))</f>
        <v/>
      </c>
      <c r="D701" t="str">
        <f>IF('Clockify Raw'!A701="","",IF(LOWER('Clockify Raw'!A701)="break","Break","Work"))</f>
        <v/>
      </c>
      <c r="E701" t="str">
        <f>IF('Clockify Raw'!A701="","",IF(LOWER('Clockify Raw'!A701)="break","Break",IF('Clockify Raw'!C701&lt;&gt;"",'Clockify Raw'!C701,IF('Clockify Raw'!D701&lt;&gt;"",'Clockify Raw'!D701,'Clockify Raw'!A701))))</f>
        <v/>
      </c>
      <c r="F701" s="24" t="str">
        <f>IF('Clockify Raw'!O701="","",'Clockify Raw'!O701/24)</f>
        <v/>
      </c>
      <c r="G701" t="str">
        <f>IF(A701="","",COUNTIFS($A$2:$A$1000,A701,$B$2:$B$1000,"&lt;"&amp;B701)+COUNTIFS($A$2:A701,A701,$B$2:B701,B701))</f>
        <v/>
      </c>
      <c r="H701" t="str">
        <f t="shared" si="10"/>
        <v/>
      </c>
    </row>
    <row r="702" spans="1:8">
      <c r="A702" s="25" t="str">
        <f>IF('Clockify Raw'!J702="","",'Clockify Raw'!J702)</f>
        <v/>
      </c>
      <c r="B702" s="23" t="str">
        <f>IF('Clockify Raw'!K702="","",VALUE('Clockify Raw'!K702))</f>
        <v/>
      </c>
      <c r="C702" s="23" t="str">
        <f>IF('Clockify Raw'!M702="","",VALUE('Clockify Raw'!M702))</f>
        <v/>
      </c>
      <c r="D702" t="str">
        <f>IF('Clockify Raw'!A702="","",IF(LOWER('Clockify Raw'!A702)="break","Break","Work"))</f>
        <v/>
      </c>
      <c r="E702" t="str">
        <f>IF('Clockify Raw'!A702="","",IF(LOWER('Clockify Raw'!A702)="break","Break",IF('Clockify Raw'!C702&lt;&gt;"",'Clockify Raw'!C702,IF('Clockify Raw'!D702&lt;&gt;"",'Clockify Raw'!D702,'Clockify Raw'!A702))))</f>
        <v/>
      </c>
      <c r="F702" s="24" t="str">
        <f>IF('Clockify Raw'!O702="","",'Clockify Raw'!O702/24)</f>
        <v/>
      </c>
      <c r="G702" t="str">
        <f>IF(A702="","",COUNTIFS($A$2:$A$1000,A702,$B$2:$B$1000,"&lt;"&amp;B702)+COUNTIFS($A$2:A702,A702,$B$2:B702,B702))</f>
        <v/>
      </c>
      <c r="H702" t="str">
        <f t="shared" si="10"/>
        <v/>
      </c>
    </row>
    <row r="703" spans="1:8">
      <c r="A703" s="25" t="str">
        <f>IF('Clockify Raw'!J703="","",'Clockify Raw'!J703)</f>
        <v/>
      </c>
      <c r="B703" s="23" t="str">
        <f>IF('Clockify Raw'!K703="","",VALUE('Clockify Raw'!K703))</f>
        <v/>
      </c>
      <c r="C703" s="23" t="str">
        <f>IF('Clockify Raw'!M703="","",VALUE('Clockify Raw'!M703))</f>
        <v/>
      </c>
      <c r="D703" t="str">
        <f>IF('Clockify Raw'!A703="","",IF(LOWER('Clockify Raw'!A703)="break","Break","Work"))</f>
        <v/>
      </c>
      <c r="E703" t="str">
        <f>IF('Clockify Raw'!A703="","",IF(LOWER('Clockify Raw'!A703)="break","Break",IF('Clockify Raw'!C703&lt;&gt;"",'Clockify Raw'!C703,IF('Clockify Raw'!D703&lt;&gt;"",'Clockify Raw'!D703,'Clockify Raw'!A703))))</f>
        <v/>
      </c>
      <c r="F703" s="24" t="str">
        <f>IF('Clockify Raw'!O703="","",'Clockify Raw'!O703/24)</f>
        <v/>
      </c>
      <c r="G703" t="str">
        <f>IF(A703="","",COUNTIFS($A$2:$A$1000,A703,$B$2:$B$1000,"&lt;"&amp;B703)+COUNTIFS($A$2:A703,A703,$B$2:B703,B703))</f>
        <v/>
      </c>
      <c r="H703" t="str">
        <f t="shared" si="10"/>
        <v/>
      </c>
    </row>
    <row r="704" spans="1:8">
      <c r="A704" s="25" t="str">
        <f>IF('Clockify Raw'!J704="","",'Clockify Raw'!J704)</f>
        <v/>
      </c>
      <c r="B704" s="23" t="str">
        <f>IF('Clockify Raw'!K704="","",VALUE('Clockify Raw'!K704))</f>
        <v/>
      </c>
      <c r="C704" s="23" t="str">
        <f>IF('Clockify Raw'!M704="","",VALUE('Clockify Raw'!M704))</f>
        <v/>
      </c>
      <c r="D704" t="str">
        <f>IF('Clockify Raw'!A704="","",IF(LOWER('Clockify Raw'!A704)="break","Break","Work"))</f>
        <v/>
      </c>
      <c r="E704" t="str">
        <f>IF('Clockify Raw'!A704="","",IF(LOWER('Clockify Raw'!A704)="break","Break",IF('Clockify Raw'!C704&lt;&gt;"",'Clockify Raw'!C704,IF('Clockify Raw'!D704&lt;&gt;"",'Clockify Raw'!D704,'Clockify Raw'!A704))))</f>
        <v/>
      </c>
      <c r="F704" s="24" t="str">
        <f>IF('Clockify Raw'!O704="","",'Clockify Raw'!O704/24)</f>
        <v/>
      </c>
      <c r="G704" t="str">
        <f>IF(A704="","",COUNTIFS($A$2:$A$1000,A704,$B$2:$B$1000,"&lt;"&amp;B704)+COUNTIFS($A$2:A704,A704,$B$2:B704,B704))</f>
        <v/>
      </c>
      <c r="H704" t="str">
        <f t="shared" si="10"/>
        <v/>
      </c>
    </row>
    <row r="705" spans="1:8">
      <c r="A705" s="25" t="str">
        <f>IF('Clockify Raw'!J705="","",'Clockify Raw'!J705)</f>
        <v/>
      </c>
      <c r="B705" s="23" t="str">
        <f>IF('Clockify Raw'!K705="","",VALUE('Clockify Raw'!K705))</f>
        <v/>
      </c>
      <c r="C705" s="23" t="str">
        <f>IF('Clockify Raw'!M705="","",VALUE('Clockify Raw'!M705))</f>
        <v/>
      </c>
      <c r="D705" t="str">
        <f>IF('Clockify Raw'!A705="","",IF(LOWER('Clockify Raw'!A705)="break","Break","Work"))</f>
        <v/>
      </c>
      <c r="E705" t="str">
        <f>IF('Clockify Raw'!A705="","",IF(LOWER('Clockify Raw'!A705)="break","Break",IF('Clockify Raw'!C705&lt;&gt;"",'Clockify Raw'!C705,IF('Clockify Raw'!D705&lt;&gt;"",'Clockify Raw'!D705,'Clockify Raw'!A705))))</f>
        <v/>
      </c>
      <c r="F705" s="24" t="str">
        <f>IF('Clockify Raw'!O705="","",'Clockify Raw'!O705/24)</f>
        <v/>
      </c>
      <c r="G705" t="str">
        <f>IF(A705="","",COUNTIFS($A$2:$A$1000,A705,$B$2:$B$1000,"&lt;"&amp;B705)+COUNTIFS($A$2:A705,A705,$B$2:B705,B705))</f>
        <v/>
      </c>
      <c r="H705" t="str">
        <f t="shared" si="10"/>
        <v/>
      </c>
    </row>
    <row r="706" spans="1:8">
      <c r="A706" s="25" t="str">
        <f>IF('Clockify Raw'!J706="","",'Clockify Raw'!J706)</f>
        <v/>
      </c>
      <c r="B706" s="23" t="str">
        <f>IF('Clockify Raw'!K706="","",VALUE('Clockify Raw'!K706))</f>
        <v/>
      </c>
      <c r="C706" s="23" t="str">
        <f>IF('Clockify Raw'!M706="","",VALUE('Clockify Raw'!M706))</f>
        <v/>
      </c>
      <c r="D706" t="str">
        <f>IF('Clockify Raw'!A706="","",IF(LOWER('Clockify Raw'!A706)="break","Break","Work"))</f>
        <v/>
      </c>
      <c r="E706" t="str">
        <f>IF('Clockify Raw'!A706="","",IF(LOWER('Clockify Raw'!A706)="break","Break",IF('Clockify Raw'!C706&lt;&gt;"",'Clockify Raw'!C706,IF('Clockify Raw'!D706&lt;&gt;"",'Clockify Raw'!D706,'Clockify Raw'!A706))))</f>
        <v/>
      </c>
      <c r="F706" s="24" t="str">
        <f>IF('Clockify Raw'!O706="","",'Clockify Raw'!O706/24)</f>
        <v/>
      </c>
      <c r="G706" t="str">
        <f>IF(A706="","",COUNTIFS($A$2:$A$1000,A706,$B$2:$B$1000,"&lt;"&amp;B706)+COUNTIFS($A$2:A706,A706,$B$2:B706,B706))</f>
        <v/>
      </c>
      <c r="H706" t="str">
        <f t="shared" ref="H706:H769" si="11">IF(A706="","",TEXT(A706,"yyyymmdd")&amp;"|"&amp;G706)</f>
        <v/>
      </c>
    </row>
    <row r="707" spans="1:8">
      <c r="A707" s="25" t="str">
        <f>IF('Clockify Raw'!J707="","",'Clockify Raw'!J707)</f>
        <v/>
      </c>
      <c r="B707" s="23" t="str">
        <f>IF('Clockify Raw'!K707="","",VALUE('Clockify Raw'!K707))</f>
        <v/>
      </c>
      <c r="C707" s="23" t="str">
        <f>IF('Clockify Raw'!M707="","",VALUE('Clockify Raw'!M707))</f>
        <v/>
      </c>
      <c r="D707" t="str">
        <f>IF('Clockify Raw'!A707="","",IF(LOWER('Clockify Raw'!A707)="break","Break","Work"))</f>
        <v/>
      </c>
      <c r="E707" t="str">
        <f>IF('Clockify Raw'!A707="","",IF(LOWER('Clockify Raw'!A707)="break","Break",IF('Clockify Raw'!C707&lt;&gt;"",'Clockify Raw'!C707,IF('Clockify Raw'!D707&lt;&gt;"",'Clockify Raw'!D707,'Clockify Raw'!A707))))</f>
        <v/>
      </c>
      <c r="F707" s="24" t="str">
        <f>IF('Clockify Raw'!O707="","",'Clockify Raw'!O707/24)</f>
        <v/>
      </c>
      <c r="G707" t="str">
        <f>IF(A707="","",COUNTIFS($A$2:$A$1000,A707,$B$2:$B$1000,"&lt;"&amp;B707)+COUNTIFS($A$2:A707,A707,$B$2:B707,B707))</f>
        <v/>
      </c>
      <c r="H707" t="str">
        <f t="shared" si="11"/>
        <v/>
      </c>
    </row>
    <row r="708" spans="1:8">
      <c r="A708" s="25" t="str">
        <f>IF('Clockify Raw'!J708="","",'Clockify Raw'!J708)</f>
        <v/>
      </c>
      <c r="B708" s="23" t="str">
        <f>IF('Clockify Raw'!K708="","",VALUE('Clockify Raw'!K708))</f>
        <v/>
      </c>
      <c r="C708" s="23" t="str">
        <f>IF('Clockify Raw'!M708="","",VALUE('Clockify Raw'!M708))</f>
        <v/>
      </c>
      <c r="D708" t="str">
        <f>IF('Clockify Raw'!A708="","",IF(LOWER('Clockify Raw'!A708)="break","Break","Work"))</f>
        <v/>
      </c>
      <c r="E708" t="str">
        <f>IF('Clockify Raw'!A708="","",IF(LOWER('Clockify Raw'!A708)="break","Break",IF('Clockify Raw'!C708&lt;&gt;"",'Clockify Raw'!C708,IF('Clockify Raw'!D708&lt;&gt;"",'Clockify Raw'!D708,'Clockify Raw'!A708))))</f>
        <v/>
      </c>
      <c r="F708" s="24" t="str">
        <f>IF('Clockify Raw'!O708="","",'Clockify Raw'!O708/24)</f>
        <v/>
      </c>
      <c r="G708" t="str">
        <f>IF(A708="","",COUNTIFS($A$2:$A$1000,A708,$B$2:$B$1000,"&lt;"&amp;B708)+COUNTIFS($A$2:A708,A708,$B$2:B708,B708))</f>
        <v/>
      </c>
      <c r="H708" t="str">
        <f t="shared" si="11"/>
        <v/>
      </c>
    </row>
    <row r="709" spans="1:8">
      <c r="A709" s="25" t="str">
        <f>IF('Clockify Raw'!J709="","",'Clockify Raw'!J709)</f>
        <v/>
      </c>
      <c r="B709" s="23" t="str">
        <f>IF('Clockify Raw'!K709="","",VALUE('Clockify Raw'!K709))</f>
        <v/>
      </c>
      <c r="C709" s="23" t="str">
        <f>IF('Clockify Raw'!M709="","",VALUE('Clockify Raw'!M709))</f>
        <v/>
      </c>
      <c r="D709" t="str">
        <f>IF('Clockify Raw'!A709="","",IF(LOWER('Clockify Raw'!A709)="break","Break","Work"))</f>
        <v/>
      </c>
      <c r="E709" t="str">
        <f>IF('Clockify Raw'!A709="","",IF(LOWER('Clockify Raw'!A709)="break","Break",IF('Clockify Raw'!C709&lt;&gt;"",'Clockify Raw'!C709,IF('Clockify Raw'!D709&lt;&gt;"",'Clockify Raw'!D709,'Clockify Raw'!A709))))</f>
        <v/>
      </c>
      <c r="F709" s="24" t="str">
        <f>IF('Clockify Raw'!O709="","",'Clockify Raw'!O709/24)</f>
        <v/>
      </c>
      <c r="G709" t="str">
        <f>IF(A709="","",COUNTIFS($A$2:$A$1000,A709,$B$2:$B$1000,"&lt;"&amp;B709)+COUNTIFS($A$2:A709,A709,$B$2:B709,B709))</f>
        <v/>
      </c>
      <c r="H709" t="str">
        <f t="shared" si="11"/>
        <v/>
      </c>
    </row>
    <row r="710" spans="1:8">
      <c r="A710" s="25" t="str">
        <f>IF('Clockify Raw'!J710="","",'Clockify Raw'!J710)</f>
        <v/>
      </c>
      <c r="B710" s="23" t="str">
        <f>IF('Clockify Raw'!K710="","",VALUE('Clockify Raw'!K710))</f>
        <v/>
      </c>
      <c r="C710" s="23" t="str">
        <f>IF('Clockify Raw'!M710="","",VALUE('Clockify Raw'!M710))</f>
        <v/>
      </c>
      <c r="D710" t="str">
        <f>IF('Clockify Raw'!A710="","",IF(LOWER('Clockify Raw'!A710)="break","Break","Work"))</f>
        <v/>
      </c>
      <c r="E710" t="str">
        <f>IF('Clockify Raw'!A710="","",IF(LOWER('Clockify Raw'!A710)="break","Break",IF('Clockify Raw'!C710&lt;&gt;"",'Clockify Raw'!C710,IF('Clockify Raw'!D710&lt;&gt;"",'Clockify Raw'!D710,'Clockify Raw'!A710))))</f>
        <v/>
      </c>
      <c r="F710" s="24" t="str">
        <f>IF('Clockify Raw'!O710="","",'Clockify Raw'!O710/24)</f>
        <v/>
      </c>
      <c r="G710" t="str">
        <f>IF(A710="","",COUNTIFS($A$2:$A$1000,A710,$B$2:$B$1000,"&lt;"&amp;B710)+COUNTIFS($A$2:A710,A710,$B$2:B710,B710))</f>
        <v/>
      </c>
      <c r="H710" t="str">
        <f t="shared" si="11"/>
        <v/>
      </c>
    </row>
    <row r="711" spans="1:8">
      <c r="A711" s="25" t="str">
        <f>IF('Clockify Raw'!J711="","",'Clockify Raw'!J711)</f>
        <v/>
      </c>
      <c r="B711" s="23" t="str">
        <f>IF('Clockify Raw'!K711="","",VALUE('Clockify Raw'!K711))</f>
        <v/>
      </c>
      <c r="C711" s="23" t="str">
        <f>IF('Clockify Raw'!M711="","",VALUE('Clockify Raw'!M711))</f>
        <v/>
      </c>
      <c r="D711" t="str">
        <f>IF('Clockify Raw'!A711="","",IF(LOWER('Clockify Raw'!A711)="break","Break","Work"))</f>
        <v/>
      </c>
      <c r="E711" t="str">
        <f>IF('Clockify Raw'!A711="","",IF(LOWER('Clockify Raw'!A711)="break","Break",IF('Clockify Raw'!C711&lt;&gt;"",'Clockify Raw'!C711,IF('Clockify Raw'!D711&lt;&gt;"",'Clockify Raw'!D711,'Clockify Raw'!A711))))</f>
        <v/>
      </c>
      <c r="F711" s="24" t="str">
        <f>IF('Clockify Raw'!O711="","",'Clockify Raw'!O711/24)</f>
        <v/>
      </c>
      <c r="G711" t="str">
        <f>IF(A711="","",COUNTIFS($A$2:$A$1000,A711,$B$2:$B$1000,"&lt;"&amp;B711)+COUNTIFS($A$2:A711,A711,$B$2:B711,B711))</f>
        <v/>
      </c>
      <c r="H711" t="str">
        <f t="shared" si="11"/>
        <v/>
      </c>
    </row>
    <row r="712" spans="1:8">
      <c r="A712" s="25" t="str">
        <f>IF('Clockify Raw'!J712="","",'Clockify Raw'!J712)</f>
        <v/>
      </c>
      <c r="B712" s="23" t="str">
        <f>IF('Clockify Raw'!K712="","",VALUE('Clockify Raw'!K712))</f>
        <v/>
      </c>
      <c r="C712" s="23" t="str">
        <f>IF('Clockify Raw'!M712="","",VALUE('Clockify Raw'!M712))</f>
        <v/>
      </c>
      <c r="D712" t="str">
        <f>IF('Clockify Raw'!A712="","",IF(LOWER('Clockify Raw'!A712)="break","Break","Work"))</f>
        <v/>
      </c>
      <c r="E712" t="str">
        <f>IF('Clockify Raw'!A712="","",IF(LOWER('Clockify Raw'!A712)="break","Break",IF('Clockify Raw'!C712&lt;&gt;"",'Clockify Raw'!C712,IF('Clockify Raw'!D712&lt;&gt;"",'Clockify Raw'!D712,'Clockify Raw'!A712))))</f>
        <v/>
      </c>
      <c r="F712" s="24" t="str">
        <f>IF('Clockify Raw'!O712="","",'Clockify Raw'!O712/24)</f>
        <v/>
      </c>
      <c r="G712" t="str">
        <f>IF(A712="","",COUNTIFS($A$2:$A$1000,A712,$B$2:$B$1000,"&lt;"&amp;B712)+COUNTIFS($A$2:A712,A712,$B$2:B712,B712))</f>
        <v/>
      </c>
      <c r="H712" t="str">
        <f t="shared" si="11"/>
        <v/>
      </c>
    </row>
    <row r="713" spans="1:8">
      <c r="A713" s="25" t="str">
        <f>IF('Clockify Raw'!J713="","",'Clockify Raw'!J713)</f>
        <v/>
      </c>
      <c r="B713" s="23" t="str">
        <f>IF('Clockify Raw'!K713="","",VALUE('Clockify Raw'!K713))</f>
        <v/>
      </c>
      <c r="C713" s="23" t="str">
        <f>IF('Clockify Raw'!M713="","",VALUE('Clockify Raw'!M713))</f>
        <v/>
      </c>
      <c r="D713" t="str">
        <f>IF('Clockify Raw'!A713="","",IF(LOWER('Clockify Raw'!A713)="break","Break","Work"))</f>
        <v/>
      </c>
      <c r="E713" t="str">
        <f>IF('Clockify Raw'!A713="","",IF(LOWER('Clockify Raw'!A713)="break","Break",IF('Clockify Raw'!C713&lt;&gt;"",'Clockify Raw'!C713,IF('Clockify Raw'!D713&lt;&gt;"",'Clockify Raw'!D713,'Clockify Raw'!A713))))</f>
        <v/>
      </c>
      <c r="F713" s="24" t="str">
        <f>IF('Clockify Raw'!O713="","",'Clockify Raw'!O713/24)</f>
        <v/>
      </c>
      <c r="G713" t="str">
        <f>IF(A713="","",COUNTIFS($A$2:$A$1000,A713,$B$2:$B$1000,"&lt;"&amp;B713)+COUNTIFS($A$2:A713,A713,$B$2:B713,B713))</f>
        <v/>
      </c>
      <c r="H713" t="str">
        <f t="shared" si="11"/>
        <v/>
      </c>
    </row>
    <row r="714" spans="1:8">
      <c r="A714" s="25" t="str">
        <f>IF('Clockify Raw'!J714="","",'Clockify Raw'!J714)</f>
        <v/>
      </c>
      <c r="B714" s="23" t="str">
        <f>IF('Clockify Raw'!K714="","",VALUE('Clockify Raw'!K714))</f>
        <v/>
      </c>
      <c r="C714" s="23" t="str">
        <f>IF('Clockify Raw'!M714="","",VALUE('Clockify Raw'!M714))</f>
        <v/>
      </c>
      <c r="D714" t="str">
        <f>IF('Clockify Raw'!A714="","",IF(LOWER('Clockify Raw'!A714)="break","Break","Work"))</f>
        <v/>
      </c>
      <c r="E714" t="str">
        <f>IF('Clockify Raw'!A714="","",IF(LOWER('Clockify Raw'!A714)="break","Break",IF('Clockify Raw'!C714&lt;&gt;"",'Clockify Raw'!C714,IF('Clockify Raw'!D714&lt;&gt;"",'Clockify Raw'!D714,'Clockify Raw'!A714))))</f>
        <v/>
      </c>
      <c r="F714" s="24" t="str">
        <f>IF('Clockify Raw'!O714="","",'Clockify Raw'!O714/24)</f>
        <v/>
      </c>
      <c r="G714" t="str">
        <f>IF(A714="","",COUNTIFS($A$2:$A$1000,A714,$B$2:$B$1000,"&lt;"&amp;B714)+COUNTIFS($A$2:A714,A714,$B$2:B714,B714))</f>
        <v/>
      </c>
      <c r="H714" t="str">
        <f t="shared" si="11"/>
        <v/>
      </c>
    </row>
    <row r="715" spans="1:8">
      <c r="A715" s="25" t="str">
        <f>IF('Clockify Raw'!J715="","",'Clockify Raw'!J715)</f>
        <v/>
      </c>
      <c r="B715" s="23" t="str">
        <f>IF('Clockify Raw'!K715="","",VALUE('Clockify Raw'!K715))</f>
        <v/>
      </c>
      <c r="C715" s="23" t="str">
        <f>IF('Clockify Raw'!M715="","",VALUE('Clockify Raw'!M715))</f>
        <v/>
      </c>
      <c r="D715" t="str">
        <f>IF('Clockify Raw'!A715="","",IF(LOWER('Clockify Raw'!A715)="break","Break","Work"))</f>
        <v/>
      </c>
      <c r="E715" t="str">
        <f>IF('Clockify Raw'!A715="","",IF(LOWER('Clockify Raw'!A715)="break","Break",IF('Clockify Raw'!C715&lt;&gt;"",'Clockify Raw'!C715,IF('Clockify Raw'!D715&lt;&gt;"",'Clockify Raw'!D715,'Clockify Raw'!A715))))</f>
        <v/>
      </c>
      <c r="F715" s="24" t="str">
        <f>IF('Clockify Raw'!O715="","",'Clockify Raw'!O715/24)</f>
        <v/>
      </c>
      <c r="G715" t="str">
        <f>IF(A715="","",COUNTIFS($A$2:$A$1000,A715,$B$2:$B$1000,"&lt;"&amp;B715)+COUNTIFS($A$2:A715,A715,$B$2:B715,B715))</f>
        <v/>
      </c>
      <c r="H715" t="str">
        <f t="shared" si="11"/>
        <v/>
      </c>
    </row>
    <row r="716" spans="1:8">
      <c r="A716" s="25" t="str">
        <f>IF('Clockify Raw'!J716="","",'Clockify Raw'!J716)</f>
        <v/>
      </c>
      <c r="B716" s="23" t="str">
        <f>IF('Clockify Raw'!K716="","",VALUE('Clockify Raw'!K716))</f>
        <v/>
      </c>
      <c r="C716" s="23" t="str">
        <f>IF('Clockify Raw'!M716="","",VALUE('Clockify Raw'!M716))</f>
        <v/>
      </c>
      <c r="D716" t="str">
        <f>IF('Clockify Raw'!A716="","",IF(LOWER('Clockify Raw'!A716)="break","Break","Work"))</f>
        <v/>
      </c>
      <c r="E716" t="str">
        <f>IF('Clockify Raw'!A716="","",IF(LOWER('Clockify Raw'!A716)="break","Break",IF('Clockify Raw'!C716&lt;&gt;"",'Clockify Raw'!C716,IF('Clockify Raw'!D716&lt;&gt;"",'Clockify Raw'!D716,'Clockify Raw'!A716))))</f>
        <v/>
      </c>
      <c r="F716" s="24" t="str">
        <f>IF('Clockify Raw'!O716="","",'Clockify Raw'!O716/24)</f>
        <v/>
      </c>
      <c r="G716" t="str">
        <f>IF(A716="","",COUNTIFS($A$2:$A$1000,A716,$B$2:$B$1000,"&lt;"&amp;B716)+COUNTIFS($A$2:A716,A716,$B$2:B716,B716))</f>
        <v/>
      </c>
      <c r="H716" t="str">
        <f t="shared" si="11"/>
        <v/>
      </c>
    </row>
    <row r="717" spans="1:8">
      <c r="A717" s="25" t="str">
        <f>IF('Clockify Raw'!J717="","",'Clockify Raw'!J717)</f>
        <v/>
      </c>
      <c r="B717" s="23" t="str">
        <f>IF('Clockify Raw'!K717="","",VALUE('Clockify Raw'!K717))</f>
        <v/>
      </c>
      <c r="C717" s="23" t="str">
        <f>IF('Clockify Raw'!M717="","",VALUE('Clockify Raw'!M717))</f>
        <v/>
      </c>
      <c r="D717" t="str">
        <f>IF('Clockify Raw'!A717="","",IF(LOWER('Clockify Raw'!A717)="break","Break","Work"))</f>
        <v/>
      </c>
      <c r="E717" t="str">
        <f>IF('Clockify Raw'!A717="","",IF(LOWER('Clockify Raw'!A717)="break","Break",IF('Clockify Raw'!C717&lt;&gt;"",'Clockify Raw'!C717,IF('Clockify Raw'!D717&lt;&gt;"",'Clockify Raw'!D717,'Clockify Raw'!A717))))</f>
        <v/>
      </c>
      <c r="F717" s="24" t="str">
        <f>IF('Clockify Raw'!O717="","",'Clockify Raw'!O717/24)</f>
        <v/>
      </c>
      <c r="G717" t="str">
        <f>IF(A717="","",COUNTIFS($A$2:$A$1000,A717,$B$2:$B$1000,"&lt;"&amp;B717)+COUNTIFS($A$2:A717,A717,$B$2:B717,B717))</f>
        <v/>
      </c>
      <c r="H717" t="str">
        <f t="shared" si="11"/>
        <v/>
      </c>
    </row>
    <row r="718" spans="1:8">
      <c r="A718" s="25" t="str">
        <f>IF('Clockify Raw'!J718="","",'Clockify Raw'!J718)</f>
        <v/>
      </c>
      <c r="B718" s="23" t="str">
        <f>IF('Clockify Raw'!K718="","",VALUE('Clockify Raw'!K718))</f>
        <v/>
      </c>
      <c r="C718" s="23" t="str">
        <f>IF('Clockify Raw'!M718="","",VALUE('Clockify Raw'!M718))</f>
        <v/>
      </c>
      <c r="D718" t="str">
        <f>IF('Clockify Raw'!A718="","",IF(LOWER('Clockify Raw'!A718)="break","Break","Work"))</f>
        <v/>
      </c>
      <c r="E718" t="str">
        <f>IF('Clockify Raw'!A718="","",IF(LOWER('Clockify Raw'!A718)="break","Break",IF('Clockify Raw'!C718&lt;&gt;"",'Clockify Raw'!C718,IF('Clockify Raw'!D718&lt;&gt;"",'Clockify Raw'!D718,'Clockify Raw'!A718))))</f>
        <v/>
      </c>
      <c r="F718" s="24" t="str">
        <f>IF('Clockify Raw'!O718="","",'Clockify Raw'!O718/24)</f>
        <v/>
      </c>
      <c r="G718" t="str">
        <f>IF(A718="","",COUNTIFS($A$2:$A$1000,A718,$B$2:$B$1000,"&lt;"&amp;B718)+COUNTIFS($A$2:A718,A718,$B$2:B718,B718))</f>
        <v/>
      </c>
      <c r="H718" t="str">
        <f t="shared" si="11"/>
        <v/>
      </c>
    </row>
    <row r="719" spans="1:8">
      <c r="A719" s="25" t="str">
        <f>IF('Clockify Raw'!J719="","",'Clockify Raw'!J719)</f>
        <v/>
      </c>
      <c r="B719" s="23" t="str">
        <f>IF('Clockify Raw'!K719="","",VALUE('Clockify Raw'!K719))</f>
        <v/>
      </c>
      <c r="C719" s="23" t="str">
        <f>IF('Clockify Raw'!M719="","",VALUE('Clockify Raw'!M719))</f>
        <v/>
      </c>
      <c r="D719" t="str">
        <f>IF('Clockify Raw'!A719="","",IF(LOWER('Clockify Raw'!A719)="break","Break","Work"))</f>
        <v/>
      </c>
      <c r="E719" t="str">
        <f>IF('Clockify Raw'!A719="","",IF(LOWER('Clockify Raw'!A719)="break","Break",IF('Clockify Raw'!C719&lt;&gt;"",'Clockify Raw'!C719,IF('Clockify Raw'!D719&lt;&gt;"",'Clockify Raw'!D719,'Clockify Raw'!A719))))</f>
        <v/>
      </c>
      <c r="F719" s="24" t="str">
        <f>IF('Clockify Raw'!O719="","",'Clockify Raw'!O719/24)</f>
        <v/>
      </c>
      <c r="G719" t="str">
        <f>IF(A719="","",COUNTIFS($A$2:$A$1000,A719,$B$2:$B$1000,"&lt;"&amp;B719)+COUNTIFS($A$2:A719,A719,$B$2:B719,B719))</f>
        <v/>
      </c>
      <c r="H719" t="str">
        <f t="shared" si="11"/>
        <v/>
      </c>
    </row>
    <row r="720" spans="1:8">
      <c r="A720" s="25" t="str">
        <f>IF('Clockify Raw'!J720="","",'Clockify Raw'!J720)</f>
        <v/>
      </c>
      <c r="B720" s="23" t="str">
        <f>IF('Clockify Raw'!K720="","",VALUE('Clockify Raw'!K720))</f>
        <v/>
      </c>
      <c r="C720" s="23" t="str">
        <f>IF('Clockify Raw'!M720="","",VALUE('Clockify Raw'!M720))</f>
        <v/>
      </c>
      <c r="D720" t="str">
        <f>IF('Clockify Raw'!A720="","",IF(LOWER('Clockify Raw'!A720)="break","Break","Work"))</f>
        <v/>
      </c>
      <c r="E720" t="str">
        <f>IF('Clockify Raw'!A720="","",IF(LOWER('Clockify Raw'!A720)="break","Break",IF('Clockify Raw'!C720&lt;&gt;"",'Clockify Raw'!C720,IF('Clockify Raw'!D720&lt;&gt;"",'Clockify Raw'!D720,'Clockify Raw'!A720))))</f>
        <v/>
      </c>
      <c r="F720" s="24" t="str">
        <f>IF('Clockify Raw'!O720="","",'Clockify Raw'!O720/24)</f>
        <v/>
      </c>
      <c r="G720" t="str">
        <f>IF(A720="","",COUNTIFS($A$2:$A$1000,A720,$B$2:$B$1000,"&lt;"&amp;B720)+COUNTIFS($A$2:A720,A720,$B$2:B720,B720))</f>
        <v/>
      </c>
      <c r="H720" t="str">
        <f t="shared" si="11"/>
        <v/>
      </c>
    </row>
    <row r="721" spans="1:8">
      <c r="A721" s="25" t="str">
        <f>IF('Clockify Raw'!J721="","",'Clockify Raw'!J721)</f>
        <v/>
      </c>
      <c r="B721" s="23" t="str">
        <f>IF('Clockify Raw'!K721="","",VALUE('Clockify Raw'!K721))</f>
        <v/>
      </c>
      <c r="C721" s="23" t="str">
        <f>IF('Clockify Raw'!M721="","",VALUE('Clockify Raw'!M721))</f>
        <v/>
      </c>
      <c r="D721" t="str">
        <f>IF('Clockify Raw'!A721="","",IF(LOWER('Clockify Raw'!A721)="break","Break","Work"))</f>
        <v/>
      </c>
      <c r="E721" t="str">
        <f>IF('Clockify Raw'!A721="","",IF(LOWER('Clockify Raw'!A721)="break","Break",IF('Clockify Raw'!C721&lt;&gt;"",'Clockify Raw'!C721,IF('Clockify Raw'!D721&lt;&gt;"",'Clockify Raw'!D721,'Clockify Raw'!A721))))</f>
        <v/>
      </c>
      <c r="F721" s="24" t="str">
        <f>IF('Clockify Raw'!O721="","",'Clockify Raw'!O721/24)</f>
        <v/>
      </c>
      <c r="G721" t="str">
        <f>IF(A721="","",COUNTIFS($A$2:$A$1000,A721,$B$2:$B$1000,"&lt;"&amp;B721)+COUNTIFS($A$2:A721,A721,$B$2:B721,B721))</f>
        <v/>
      </c>
      <c r="H721" t="str">
        <f t="shared" si="11"/>
        <v/>
      </c>
    </row>
    <row r="722" spans="1:8">
      <c r="A722" s="25" t="str">
        <f>IF('Clockify Raw'!J722="","",'Clockify Raw'!J722)</f>
        <v/>
      </c>
      <c r="B722" s="23" t="str">
        <f>IF('Clockify Raw'!K722="","",VALUE('Clockify Raw'!K722))</f>
        <v/>
      </c>
      <c r="C722" s="23" t="str">
        <f>IF('Clockify Raw'!M722="","",VALUE('Clockify Raw'!M722))</f>
        <v/>
      </c>
      <c r="D722" t="str">
        <f>IF('Clockify Raw'!A722="","",IF(LOWER('Clockify Raw'!A722)="break","Break","Work"))</f>
        <v/>
      </c>
      <c r="E722" t="str">
        <f>IF('Clockify Raw'!A722="","",IF(LOWER('Clockify Raw'!A722)="break","Break",IF('Clockify Raw'!C722&lt;&gt;"",'Clockify Raw'!C722,IF('Clockify Raw'!D722&lt;&gt;"",'Clockify Raw'!D722,'Clockify Raw'!A722))))</f>
        <v/>
      </c>
      <c r="F722" s="24" t="str">
        <f>IF('Clockify Raw'!O722="","",'Clockify Raw'!O722/24)</f>
        <v/>
      </c>
      <c r="G722" t="str">
        <f>IF(A722="","",COUNTIFS($A$2:$A$1000,A722,$B$2:$B$1000,"&lt;"&amp;B722)+COUNTIFS($A$2:A722,A722,$B$2:B722,B722))</f>
        <v/>
      </c>
      <c r="H722" t="str">
        <f t="shared" si="11"/>
        <v/>
      </c>
    </row>
    <row r="723" spans="1:8">
      <c r="A723" s="25" t="str">
        <f>IF('Clockify Raw'!J723="","",'Clockify Raw'!J723)</f>
        <v/>
      </c>
      <c r="B723" s="23" t="str">
        <f>IF('Clockify Raw'!K723="","",VALUE('Clockify Raw'!K723))</f>
        <v/>
      </c>
      <c r="C723" s="23" t="str">
        <f>IF('Clockify Raw'!M723="","",VALUE('Clockify Raw'!M723))</f>
        <v/>
      </c>
      <c r="D723" t="str">
        <f>IF('Clockify Raw'!A723="","",IF(LOWER('Clockify Raw'!A723)="break","Break","Work"))</f>
        <v/>
      </c>
      <c r="E723" t="str">
        <f>IF('Clockify Raw'!A723="","",IF(LOWER('Clockify Raw'!A723)="break","Break",IF('Clockify Raw'!C723&lt;&gt;"",'Clockify Raw'!C723,IF('Clockify Raw'!D723&lt;&gt;"",'Clockify Raw'!D723,'Clockify Raw'!A723))))</f>
        <v/>
      </c>
      <c r="F723" s="24" t="str">
        <f>IF('Clockify Raw'!O723="","",'Clockify Raw'!O723/24)</f>
        <v/>
      </c>
      <c r="G723" t="str">
        <f>IF(A723="","",COUNTIFS($A$2:$A$1000,A723,$B$2:$B$1000,"&lt;"&amp;B723)+COUNTIFS($A$2:A723,A723,$B$2:B723,B723))</f>
        <v/>
      </c>
      <c r="H723" t="str">
        <f t="shared" si="11"/>
        <v/>
      </c>
    </row>
    <row r="724" spans="1:8">
      <c r="A724" s="25" t="str">
        <f>IF('Clockify Raw'!J724="","",'Clockify Raw'!J724)</f>
        <v/>
      </c>
      <c r="B724" s="23" t="str">
        <f>IF('Clockify Raw'!K724="","",VALUE('Clockify Raw'!K724))</f>
        <v/>
      </c>
      <c r="C724" s="23" t="str">
        <f>IF('Clockify Raw'!M724="","",VALUE('Clockify Raw'!M724))</f>
        <v/>
      </c>
      <c r="D724" t="str">
        <f>IF('Clockify Raw'!A724="","",IF(LOWER('Clockify Raw'!A724)="break","Break","Work"))</f>
        <v/>
      </c>
      <c r="E724" t="str">
        <f>IF('Clockify Raw'!A724="","",IF(LOWER('Clockify Raw'!A724)="break","Break",IF('Clockify Raw'!C724&lt;&gt;"",'Clockify Raw'!C724,IF('Clockify Raw'!D724&lt;&gt;"",'Clockify Raw'!D724,'Clockify Raw'!A724))))</f>
        <v/>
      </c>
      <c r="F724" s="24" t="str">
        <f>IF('Clockify Raw'!O724="","",'Clockify Raw'!O724/24)</f>
        <v/>
      </c>
      <c r="G724" t="str">
        <f>IF(A724="","",COUNTIFS($A$2:$A$1000,A724,$B$2:$B$1000,"&lt;"&amp;B724)+COUNTIFS($A$2:A724,A724,$B$2:B724,B724))</f>
        <v/>
      </c>
      <c r="H724" t="str">
        <f t="shared" si="11"/>
        <v/>
      </c>
    </row>
    <row r="725" spans="1:8">
      <c r="A725" s="25" t="str">
        <f>IF('Clockify Raw'!J725="","",'Clockify Raw'!J725)</f>
        <v/>
      </c>
      <c r="B725" s="23" t="str">
        <f>IF('Clockify Raw'!K725="","",VALUE('Clockify Raw'!K725))</f>
        <v/>
      </c>
      <c r="C725" s="23" t="str">
        <f>IF('Clockify Raw'!M725="","",VALUE('Clockify Raw'!M725))</f>
        <v/>
      </c>
      <c r="D725" t="str">
        <f>IF('Clockify Raw'!A725="","",IF(LOWER('Clockify Raw'!A725)="break","Break","Work"))</f>
        <v/>
      </c>
      <c r="E725" t="str">
        <f>IF('Clockify Raw'!A725="","",IF(LOWER('Clockify Raw'!A725)="break","Break",IF('Clockify Raw'!C725&lt;&gt;"",'Clockify Raw'!C725,IF('Clockify Raw'!D725&lt;&gt;"",'Clockify Raw'!D725,'Clockify Raw'!A725))))</f>
        <v/>
      </c>
      <c r="F725" s="24" t="str">
        <f>IF('Clockify Raw'!O725="","",'Clockify Raw'!O725/24)</f>
        <v/>
      </c>
      <c r="G725" t="str">
        <f>IF(A725="","",COUNTIFS($A$2:$A$1000,A725,$B$2:$B$1000,"&lt;"&amp;B725)+COUNTIFS($A$2:A725,A725,$B$2:B725,B725))</f>
        <v/>
      </c>
      <c r="H725" t="str">
        <f t="shared" si="11"/>
        <v/>
      </c>
    </row>
    <row r="726" spans="1:8">
      <c r="A726" s="25" t="str">
        <f>IF('Clockify Raw'!J726="","",'Clockify Raw'!J726)</f>
        <v/>
      </c>
      <c r="B726" s="23" t="str">
        <f>IF('Clockify Raw'!K726="","",VALUE('Clockify Raw'!K726))</f>
        <v/>
      </c>
      <c r="C726" s="23" t="str">
        <f>IF('Clockify Raw'!M726="","",VALUE('Clockify Raw'!M726))</f>
        <v/>
      </c>
      <c r="D726" t="str">
        <f>IF('Clockify Raw'!A726="","",IF(LOWER('Clockify Raw'!A726)="break","Break","Work"))</f>
        <v/>
      </c>
      <c r="E726" t="str">
        <f>IF('Clockify Raw'!A726="","",IF(LOWER('Clockify Raw'!A726)="break","Break",IF('Clockify Raw'!C726&lt;&gt;"",'Clockify Raw'!C726,IF('Clockify Raw'!D726&lt;&gt;"",'Clockify Raw'!D726,'Clockify Raw'!A726))))</f>
        <v/>
      </c>
      <c r="F726" s="24" t="str">
        <f>IF('Clockify Raw'!O726="","",'Clockify Raw'!O726/24)</f>
        <v/>
      </c>
      <c r="G726" t="str">
        <f>IF(A726="","",COUNTIFS($A$2:$A$1000,A726,$B$2:$B$1000,"&lt;"&amp;B726)+COUNTIFS($A$2:A726,A726,$B$2:B726,B726))</f>
        <v/>
      </c>
      <c r="H726" t="str">
        <f t="shared" si="11"/>
        <v/>
      </c>
    </row>
    <row r="727" spans="1:8">
      <c r="A727" s="25" t="str">
        <f>IF('Clockify Raw'!J727="","",'Clockify Raw'!J727)</f>
        <v/>
      </c>
      <c r="B727" s="23" t="str">
        <f>IF('Clockify Raw'!K727="","",VALUE('Clockify Raw'!K727))</f>
        <v/>
      </c>
      <c r="C727" s="23" t="str">
        <f>IF('Clockify Raw'!M727="","",VALUE('Clockify Raw'!M727))</f>
        <v/>
      </c>
      <c r="D727" t="str">
        <f>IF('Clockify Raw'!A727="","",IF(LOWER('Clockify Raw'!A727)="break","Break","Work"))</f>
        <v/>
      </c>
      <c r="E727" t="str">
        <f>IF('Clockify Raw'!A727="","",IF(LOWER('Clockify Raw'!A727)="break","Break",IF('Clockify Raw'!C727&lt;&gt;"",'Clockify Raw'!C727,IF('Clockify Raw'!D727&lt;&gt;"",'Clockify Raw'!D727,'Clockify Raw'!A727))))</f>
        <v/>
      </c>
      <c r="F727" s="24" t="str">
        <f>IF('Clockify Raw'!O727="","",'Clockify Raw'!O727/24)</f>
        <v/>
      </c>
      <c r="G727" t="str">
        <f>IF(A727="","",COUNTIFS($A$2:$A$1000,A727,$B$2:$B$1000,"&lt;"&amp;B727)+COUNTIFS($A$2:A727,A727,$B$2:B727,B727))</f>
        <v/>
      </c>
      <c r="H727" t="str">
        <f t="shared" si="11"/>
        <v/>
      </c>
    </row>
    <row r="728" spans="1:8">
      <c r="A728" s="25" t="str">
        <f>IF('Clockify Raw'!J728="","",'Clockify Raw'!J728)</f>
        <v/>
      </c>
      <c r="B728" s="23" t="str">
        <f>IF('Clockify Raw'!K728="","",VALUE('Clockify Raw'!K728))</f>
        <v/>
      </c>
      <c r="C728" s="23" t="str">
        <f>IF('Clockify Raw'!M728="","",VALUE('Clockify Raw'!M728))</f>
        <v/>
      </c>
      <c r="D728" t="str">
        <f>IF('Clockify Raw'!A728="","",IF(LOWER('Clockify Raw'!A728)="break","Break","Work"))</f>
        <v/>
      </c>
      <c r="E728" t="str">
        <f>IF('Clockify Raw'!A728="","",IF(LOWER('Clockify Raw'!A728)="break","Break",IF('Clockify Raw'!C728&lt;&gt;"",'Clockify Raw'!C728,IF('Clockify Raw'!D728&lt;&gt;"",'Clockify Raw'!D728,'Clockify Raw'!A728))))</f>
        <v/>
      </c>
      <c r="F728" s="24" t="str">
        <f>IF('Clockify Raw'!O728="","",'Clockify Raw'!O728/24)</f>
        <v/>
      </c>
      <c r="G728" t="str">
        <f>IF(A728="","",COUNTIFS($A$2:$A$1000,A728,$B$2:$B$1000,"&lt;"&amp;B728)+COUNTIFS($A$2:A728,A728,$B$2:B728,B728))</f>
        <v/>
      </c>
      <c r="H728" t="str">
        <f t="shared" si="11"/>
        <v/>
      </c>
    </row>
    <row r="729" spans="1:8">
      <c r="A729" s="25" t="str">
        <f>IF('Clockify Raw'!J729="","",'Clockify Raw'!J729)</f>
        <v/>
      </c>
      <c r="B729" s="23" t="str">
        <f>IF('Clockify Raw'!K729="","",VALUE('Clockify Raw'!K729))</f>
        <v/>
      </c>
      <c r="C729" s="23" t="str">
        <f>IF('Clockify Raw'!M729="","",VALUE('Clockify Raw'!M729))</f>
        <v/>
      </c>
      <c r="D729" t="str">
        <f>IF('Clockify Raw'!A729="","",IF(LOWER('Clockify Raw'!A729)="break","Break","Work"))</f>
        <v/>
      </c>
      <c r="E729" t="str">
        <f>IF('Clockify Raw'!A729="","",IF(LOWER('Clockify Raw'!A729)="break","Break",IF('Clockify Raw'!C729&lt;&gt;"",'Clockify Raw'!C729,IF('Clockify Raw'!D729&lt;&gt;"",'Clockify Raw'!D729,'Clockify Raw'!A729))))</f>
        <v/>
      </c>
      <c r="F729" s="24" t="str">
        <f>IF('Clockify Raw'!O729="","",'Clockify Raw'!O729/24)</f>
        <v/>
      </c>
      <c r="G729" t="str">
        <f>IF(A729="","",COUNTIFS($A$2:$A$1000,A729,$B$2:$B$1000,"&lt;"&amp;B729)+COUNTIFS($A$2:A729,A729,$B$2:B729,B729))</f>
        <v/>
      </c>
      <c r="H729" t="str">
        <f t="shared" si="11"/>
        <v/>
      </c>
    </row>
    <row r="730" spans="1:8">
      <c r="A730" s="25" t="str">
        <f>IF('Clockify Raw'!J730="","",'Clockify Raw'!J730)</f>
        <v/>
      </c>
      <c r="B730" s="23" t="str">
        <f>IF('Clockify Raw'!K730="","",VALUE('Clockify Raw'!K730))</f>
        <v/>
      </c>
      <c r="C730" s="23" t="str">
        <f>IF('Clockify Raw'!M730="","",VALUE('Clockify Raw'!M730))</f>
        <v/>
      </c>
      <c r="D730" t="str">
        <f>IF('Clockify Raw'!A730="","",IF(LOWER('Clockify Raw'!A730)="break","Break","Work"))</f>
        <v/>
      </c>
      <c r="E730" t="str">
        <f>IF('Clockify Raw'!A730="","",IF(LOWER('Clockify Raw'!A730)="break","Break",IF('Clockify Raw'!C730&lt;&gt;"",'Clockify Raw'!C730,IF('Clockify Raw'!D730&lt;&gt;"",'Clockify Raw'!D730,'Clockify Raw'!A730))))</f>
        <v/>
      </c>
      <c r="F730" s="24" t="str">
        <f>IF('Clockify Raw'!O730="","",'Clockify Raw'!O730/24)</f>
        <v/>
      </c>
      <c r="G730" t="str">
        <f>IF(A730="","",COUNTIFS($A$2:$A$1000,A730,$B$2:$B$1000,"&lt;"&amp;B730)+COUNTIFS($A$2:A730,A730,$B$2:B730,B730))</f>
        <v/>
      </c>
      <c r="H730" t="str">
        <f t="shared" si="11"/>
        <v/>
      </c>
    </row>
    <row r="731" spans="1:8">
      <c r="A731" s="25" t="str">
        <f>IF('Clockify Raw'!J731="","",'Clockify Raw'!J731)</f>
        <v/>
      </c>
      <c r="B731" s="23" t="str">
        <f>IF('Clockify Raw'!K731="","",VALUE('Clockify Raw'!K731))</f>
        <v/>
      </c>
      <c r="C731" s="23" t="str">
        <f>IF('Clockify Raw'!M731="","",VALUE('Clockify Raw'!M731))</f>
        <v/>
      </c>
      <c r="D731" t="str">
        <f>IF('Clockify Raw'!A731="","",IF(LOWER('Clockify Raw'!A731)="break","Break","Work"))</f>
        <v/>
      </c>
      <c r="E731" t="str">
        <f>IF('Clockify Raw'!A731="","",IF(LOWER('Clockify Raw'!A731)="break","Break",IF('Clockify Raw'!C731&lt;&gt;"",'Clockify Raw'!C731,IF('Clockify Raw'!D731&lt;&gt;"",'Clockify Raw'!D731,'Clockify Raw'!A731))))</f>
        <v/>
      </c>
      <c r="F731" s="24" t="str">
        <f>IF('Clockify Raw'!O731="","",'Clockify Raw'!O731/24)</f>
        <v/>
      </c>
      <c r="G731" t="str">
        <f>IF(A731="","",COUNTIFS($A$2:$A$1000,A731,$B$2:$B$1000,"&lt;"&amp;B731)+COUNTIFS($A$2:A731,A731,$B$2:B731,B731))</f>
        <v/>
      </c>
      <c r="H731" t="str">
        <f t="shared" si="11"/>
        <v/>
      </c>
    </row>
    <row r="732" spans="1:8">
      <c r="A732" s="25" t="str">
        <f>IF('Clockify Raw'!J732="","",'Clockify Raw'!J732)</f>
        <v/>
      </c>
      <c r="B732" s="23" t="str">
        <f>IF('Clockify Raw'!K732="","",VALUE('Clockify Raw'!K732))</f>
        <v/>
      </c>
      <c r="C732" s="23" t="str">
        <f>IF('Clockify Raw'!M732="","",VALUE('Clockify Raw'!M732))</f>
        <v/>
      </c>
      <c r="D732" t="str">
        <f>IF('Clockify Raw'!A732="","",IF(LOWER('Clockify Raw'!A732)="break","Break","Work"))</f>
        <v/>
      </c>
      <c r="E732" t="str">
        <f>IF('Clockify Raw'!A732="","",IF(LOWER('Clockify Raw'!A732)="break","Break",IF('Clockify Raw'!C732&lt;&gt;"",'Clockify Raw'!C732,IF('Clockify Raw'!D732&lt;&gt;"",'Clockify Raw'!D732,'Clockify Raw'!A732))))</f>
        <v/>
      </c>
      <c r="F732" s="24" t="str">
        <f>IF('Clockify Raw'!O732="","",'Clockify Raw'!O732/24)</f>
        <v/>
      </c>
      <c r="G732" t="str">
        <f>IF(A732="","",COUNTIFS($A$2:$A$1000,A732,$B$2:$B$1000,"&lt;"&amp;B732)+COUNTIFS($A$2:A732,A732,$B$2:B732,B732))</f>
        <v/>
      </c>
      <c r="H732" t="str">
        <f t="shared" si="11"/>
        <v/>
      </c>
    </row>
    <row r="733" spans="1:8">
      <c r="A733" s="25" t="str">
        <f>IF('Clockify Raw'!J733="","",'Clockify Raw'!J733)</f>
        <v/>
      </c>
      <c r="B733" s="23" t="str">
        <f>IF('Clockify Raw'!K733="","",VALUE('Clockify Raw'!K733))</f>
        <v/>
      </c>
      <c r="C733" s="23" t="str">
        <f>IF('Clockify Raw'!M733="","",VALUE('Clockify Raw'!M733))</f>
        <v/>
      </c>
      <c r="D733" t="str">
        <f>IF('Clockify Raw'!A733="","",IF(LOWER('Clockify Raw'!A733)="break","Break","Work"))</f>
        <v/>
      </c>
      <c r="E733" t="str">
        <f>IF('Clockify Raw'!A733="","",IF(LOWER('Clockify Raw'!A733)="break","Break",IF('Clockify Raw'!C733&lt;&gt;"",'Clockify Raw'!C733,IF('Clockify Raw'!D733&lt;&gt;"",'Clockify Raw'!D733,'Clockify Raw'!A733))))</f>
        <v/>
      </c>
      <c r="F733" s="24" t="str">
        <f>IF('Clockify Raw'!O733="","",'Clockify Raw'!O733/24)</f>
        <v/>
      </c>
      <c r="G733" t="str">
        <f>IF(A733="","",COUNTIFS($A$2:$A$1000,A733,$B$2:$B$1000,"&lt;"&amp;B733)+COUNTIFS($A$2:A733,A733,$B$2:B733,B733))</f>
        <v/>
      </c>
      <c r="H733" t="str">
        <f t="shared" si="11"/>
        <v/>
      </c>
    </row>
    <row r="734" spans="1:8">
      <c r="A734" s="25" t="str">
        <f>IF('Clockify Raw'!J734="","",'Clockify Raw'!J734)</f>
        <v/>
      </c>
      <c r="B734" s="23" t="str">
        <f>IF('Clockify Raw'!K734="","",VALUE('Clockify Raw'!K734))</f>
        <v/>
      </c>
      <c r="C734" s="23" t="str">
        <f>IF('Clockify Raw'!M734="","",VALUE('Clockify Raw'!M734))</f>
        <v/>
      </c>
      <c r="D734" t="str">
        <f>IF('Clockify Raw'!A734="","",IF(LOWER('Clockify Raw'!A734)="break","Break","Work"))</f>
        <v/>
      </c>
      <c r="E734" t="str">
        <f>IF('Clockify Raw'!A734="","",IF(LOWER('Clockify Raw'!A734)="break","Break",IF('Clockify Raw'!C734&lt;&gt;"",'Clockify Raw'!C734,IF('Clockify Raw'!D734&lt;&gt;"",'Clockify Raw'!D734,'Clockify Raw'!A734))))</f>
        <v/>
      </c>
      <c r="F734" s="24" t="str">
        <f>IF('Clockify Raw'!O734="","",'Clockify Raw'!O734/24)</f>
        <v/>
      </c>
      <c r="G734" t="str">
        <f>IF(A734="","",COUNTIFS($A$2:$A$1000,A734,$B$2:$B$1000,"&lt;"&amp;B734)+COUNTIFS($A$2:A734,A734,$B$2:B734,B734))</f>
        <v/>
      </c>
      <c r="H734" t="str">
        <f t="shared" si="11"/>
        <v/>
      </c>
    </row>
    <row r="735" spans="1:8">
      <c r="A735" s="25" t="str">
        <f>IF('Clockify Raw'!J735="","",'Clockify Raw'!J735)</f>
        <v/>
      </c>
      <c r="B735" s="23" t="str">
        <f>IF('Clockify Raw'!K735="","",VALUE('Clockify Raw'!K735))</f>
        <v/>
      </c>
      <c r="C735" s="23" t="str">
        <f>IF('Clockify Raw'!M735="","",VALUE('Clockify Raw'!M735))</f>
        <v/>
      </c>
      <c r="D735" t="str">
        <f>IF('Clockify Raw'!A735="","",IF(LOWER('Clockify Raw'!A735)="break","Break","Work"))</f>
        <v/>
      </c>
      <c r="E735" t="str">
        <f>IF('Clockify Raw'!A735="","",IF(LOWER('Clockify Raw'!A735)="break","Break",IF('Clockify Raw'!C735&lt;&gt;"",'Clockify Raw'!C735,IF('Clockify Raw'!D735&lt;&gt;"",'Clockify Raw'!D735,'Clockify Raw'!A735))))</f>
        <v/>
      </c>
      <c r="F735" s="24" t="str">
        <f>IF('Clockify Raw'!O735="","",'Clockify Raw'!O735/24)</f>
        <v/>
      </c>
      <c r="G735" t="str">
        <f>IF(A735="","",COUNTIFS($A$2:$A$1000,A735,$B$2:$B$1000,"&lt;"&amp;B735)+COUNTIFS($A$2:A735,A735,$B$2:B735,B735))</f>
        <v/>
      </c>
      <c r="H735" t="str">
        <f t="shared" si="11"/>
        <v/>
      </c>
    </row>
    <row r="736" spans="1:8">
      <c r="A736" s="25" t="str">
        <f>IF('Clockify Raw'!J736="","",'Clockify Raw'!J736)</f>
        <v/>
      </c>
      <c r="B736" s="23" t="str">
        <f>IF('Clockify Raw'!K736="","",VALUE('Clockify Raw'!K736))</f>
        <v/>
      </c>
      <c r="C736" s="23" t="str">
        <f>IF('Clockify Raw'!M736="","",VALUE('Clockify Raw'!M736))</f>
        <v/>
      </c>
      <c r="D736" t="str">
        <f>IF('Clockify Raw'!A736="","",IF(LOWER('Clockify Raw'!A736)="break","Break","Work"))</f>
        <v/>
      </c>
      <c r="E736" t="str">
        <f>IF('Clockify Raw'!A736="","",IF(LOWER('Clockify Raw'!A736)="break","Break",IF('Clockify Raw'!C736&lt;&gt;"",'Clockify Raw'!C736,IF('Clockify Raw'!D736&lt;&gt;"",'Clockify Raw'!D736,'Clockify Raw'!A736))))</f>
        <v/>
      </c>
      <c r="F736" s="24" t="str">
        <f>IF('Clockify Raw'!O736="","",'Clockify Raw'!O736/24)</f>
        <v/>
      </c>
      <c r="G736" t="str">
        <f>IF(A736="","",COUNTIFS($A$2:$A$1000,A736,$B$2:$B$1000,"&lt;"&amp;B736)+COUNTIFS($A$2:A736,A736,$B$2:B736,B736))</f>
        <v/>
      </c>
      <c r="H736" t="str">
        <f t="shared" si="11"/>
        <v/>
      </c>
    </row>
    <row r="737" spans="1:8">
      <c r="A737" s="25" t="str">
        <f>IF('Clockify Raw'!J737="","",'Clockify Raw'!J737)</f>
        <v/>
      </c>
      <c r="B737" s="23" t="str">
        <f>IF('Clockify Raw'!K737="","",VALUE('Clockify Raw'!K737))</f>
        <v/>
      </c>
      <c r="C737" s="23" t="str">
        <f>IF('Clockify Raw'!M737="","",VALUE('Clockify Raw'!M737))</f>
        <v/>
      </c>
      <c r="D737" t="str">
        <f>IF('Clockify Raw'!A737="","",IF(LOWER('Clockify Raw'!A737)="break","Break","Work"))</f>
        <v/>
      </c>
      <c r="E737" t="str">
        <f>IF('Clockify Raw'!A737="","",IF(LOWER('Clockify Raw'!A737)="break","Break",IF('Clockify Raw'!C737&lt;&gt;"",'Clockify Raw'!C737,IF('Clockify Raw'!D737&lt;&gt;"",'Clockify Raw'!D737,'Clockify Raw'!A737))))</f>
        <v/>
      </c>
      <c r="F737" s="24" t="str">
        <f>IF('Clockify Raw'!O737="","",'Clockify Raw'!O737/24)</f>
        <v/>
      </c>
      <c r="G737" t="str">
        <f>IF(A737="","",COUNTIFS($A$2:$A$1000,A737,$B$2:$B$1000,"&lt;"&amp;B737)+COUNTIFS($A$2:A737,A737,$B$2:B737,B737))</f>
        <v/>
      </c>
      <c r="H737" t="str">
        <f t="shared" si="11"/>
        <v/>
      </c>
    </row>
    <row r="738" spans="1:8">
      <c r="A738" s="25" t="str">
        <f>IF('Clockify Raw'!J738="","",'Clockify Raw'!J738)</f>
        <v/>
      </c>
      <c r="B738" s="23" t="str">
        <f>IF('Clockify Raw'!K738="","",VALUE('Clockify Raw'!K738))</f>
        <v/>
      </c>
      <c r="C738" s="23" t="str">
        <f>IF('Clockify Raw'!M738="","",VALUE('Clockify Raw'!M738))</f>
        <v/>
      </c>
      <c r="D738" t="str">
        <f>IF('Clockify Raw'!A738="","",IF(LOWER('Clockify Raw'!A738)="break","Break","Work"))</f>
        <v/>
      </c>
      <c r="E738" t="str">
        <f>IF('Clockify Raw'!A738="","",IF(LOWER('Clockify Raw'!A738)="break","Break",IF('Clockify Raw'!C738&lt;&gt;"",'Clockify Raw'!C738,IF('Clockify Raw'!D738&lt;&gt;"",'Clockify Raw'!D738,'Clockify Raw'!A738))))</f>
        <v/>
      </c>
      <c r="F738" s="24" t="str">
        <f>IF('Clockify Raw'!O738="","",'Clockify Raw'!O738/24)</f>
        <v/>
      </c>
      <c r="G738" t="str">
        <f>IF(A738="","",COUNTIFS($A$2:$A$1000,A738,$B$2:$B$1000,"&lt;"&amp;B738)+COUNTIFS($A$2:A738,A738,$B$2:B738,B738))</f>
        <v/>
      </c>
      <c r="H738" t="str">
        <f t="shared" si="11"/>
        <v/>
      </c>
    </row>
    <row r="739" spans="1:8">
      <c r="A739" s="25" t="str">
        <f>IF('Clockify Raw'!J739="","",'Clockify Raw'!J739)</f>
        <v/>
      </c>
      <c r="B739" s="23" t="str">
        <f>IF('Clockify Raw'!K739="","",VALUE('Clockify Raw'!K739))</f>
        <v/>
      </c>
      <c r="C739" s="23" t="str">
        <f>IF('Clockify Raw'!M739="","",VALUE('Clockify Raw'!M739))</f>
        <v/>
      </c>
      <c r="D739" t="str">
        <f>IF('Clockify Raw'!A739="","",IF(LOWER('Clockify Raw'!A739)="break","Break","Work"))</f>
        <v/>
      </c>
      <c r="E739" t="str">
        <f>IF('Clockify Raw'!A739="","",IF(LOWER('Clockify Raw'!A739)="break","Break",IF('Clockify Raw'!C739&lt;&gt;"",'Clockify Raw'!C739,IF('Clockify Raw'!D739&lt;&gt;"",'Clockify Raw'!D739,'Clockify Raw'!A739))))</f>
        <v/>
      </c>
      <c r="F739" s="24" t="str">
        <f>IF('Clockify Raw'!O739="","",'Clockify Raw'!O739/24)</f>
        <v/>
      </c>
      <c r="G739" t="str">
        <f>IF(A739="","",COUNTIFS($A$2:$A$1000,A739,$B$2:$B$1000,"&lt;"&amp;B739)+COUNTIFS($A$2:A739,A739,$B$2:B739,B739))</f>
        <v/>
      </c>
      <c r="H739" t="str">
        <f t="shared" si="11"/>
        <v/>
      </c>
    </row>
    <row r="740" spans="1:8">
      <c r="A740" s="25" t="str">
        <f>IF('Clockify Raw'!J740="","",'Clockify Raw'!J740)</f>
        <v/>
      </c>
      <c r="B740" s="23" t="str">
        <f>IF('Clockify Raw'!K740="","",VALUE('Clockify Raw'!K740))</f>
        <v/>
      </c>
      <c r="C740" s="23" t="str">
        <f>IF('Clockify Raw'!M740="","",VALUE('Clockify Raw'!M740))</f>
        <v/>
      </c>
      <c r="D740" t="str">
        <f>IF('Clockify Raw'!A740="","",IF(LOWER('Clockify Raw'!A740)="break","Break","Work"))</f>
        <v/>
      </c>
      <c r="E740" t="str">
        <f>IF('Clockify Raw'!A740="","",IF(LOWER('Clockify Raw'!A740)="break","Break",IF('Clockify Raw'!C740&lt;&gt;"",'Clockify Raw'!C740,IF('Clockify Raw'!D740&lt;&gt;"",'Clockify Raw'!D740,'Clockify Raw'!A740))))</f>
        <v/>
      </c>
      <c r="F740" s="24" t="str">
        <f>IF('Clockify Raw'!O740="","",'Clockify Raw'!O740/24)</f>
        <v/>
      </c>
      <c r="G740" t="str">
        <f>IF(A740="","",COUNTIFS($A$2:$A$1000,A740,$B$2:$B$1000,"&lt;"&amp;B740)+COUNTIFS($A$2:A740,A740,$B$2:B740,B740))</f>
        <v/>
      </c>
      <c r="H740" t="str">
        <f t="shared" si="11"/>
        <v/>
      </c>
    </row>
    <row r="741" spans="1:8">
      <c r="A741" s="25" t="str">
        <f>IF('Clockify Raw'!J741="","",'Clockify Raw'!J741)</f>
        <v/>
      </c>
      <c r="B741" s="23" t="str">
        <f>IF('Clockify Raw'!K741="","",VALUE('Clockify Raw'!K741))</f>
        <v/>
      </c>
      <c r="C741" s="23" t="str">
        <f>IF('Clockify Raw'!M741="","",VALUE('Clockify Raw'!M741))</f>
        <v/>
      </c>
      <c r="D741" t="str">
        <f>IF('Clockify Raw'!A741="","",IF(LOWER('Clockify Raw'!A741)="break","Break","Work"))</f>
        <v/>
      </c>
      <c r="E741" t="str">
        <f>IF('Clockify Raw'!A741="","",IF(LOWER('Clockify Raw'!A741)="break","Break",IF('Clockify Raw'!C741&lt;&gt;"",'Clockify Raw'!C741,IF('Clockify Raw'!D741&lt;&gt;"",'Clockify Raw'!D741,'Clockify Raw'!A741))))</f>
        <v/>
      </c>
      <c r="F741" s="24" t="str">
        <f>IF('Clockify Raw'!O741="","",'Clockify Raw'!O741/24)</f>
        <v/>
      </c>
      <c r="G741" t="str">
        <f>IF(A741="","",COUNTIFS($A$2:$A$1000,A741,$B$2:$B$1000,"&lt;"&amp;B741)+COUNTIFS($A$2:A741,A741,$B$2:B741,B741))</f>
        <v/>
      </c>
      <c r="H741" t="str">
        <f t="shared" si="11"/>
        <v/>
      </c>
    </row>
    <row r="742" spans="1:8">
      <c r="A742" s="25" t="str">
        <f>IF('Clockify Raw'!J742="","",'Clockify Raw'!J742)</f>
        <v/>
      </c>
      <c r="B742" s="23" t="str">
        <f>IF('Clockify Raw'!K742="","",VALUE('Clockify Raw'!K742))</f>
        <v/>
      </c>
      <c r="C742" s="23" t="str">
        <f>IF('Clockify Raw'!M742="","",VALUE('Clockify Raw'!M742))</f>
        <v/>
      </c>
      <c r="D742" t="str">
        <f>IF('Clockify Raw'!A742="","",IF(LOWER('Clockify Raw'!A742)="break","Break","Work"))</f>
        <v/>
      </c>
      <c r="E742" t="str">
        <f>IF('Clockify Raw'!A742="","",IF(LOWER('Clockify Raw'!A742)="break","Break",IF('Clockify Raw'!C742&lt;&gt;"",'Clockify Raw'!C742,IF('Clockify Raw'!D742&lt;&gt;"",'Clockify Raw'!D742,'Clockify Raw'!A742))))</f>
        <v/>
      </c>
      <c r="F742" s="24" t="str">
        <f>IF('Clockify Raw'!O742="","",'Clockify Raw'!O742/24)</f>
        <v/>
      </c>
      <c r="G742" t="str">
        <f>IF(A742="","",COUNTIFS($A$2:$A$1000,A742,$B$2:$B$1000,"&lt;"&amp;B742)+COUNTIFS($A$2:A742,A742,$B$2:B742,B742))</f>
        <v/>
      </c>
      <c r="H742" t="str">
        <f t="shared" si="11"/>
        <v/>
      </c>
    </row>
    <row r="743" spans="1:8">
      <c r="A743" s="25" t="str">
        <f>IF('Clockify Raw'!J743="","",'Clockify Raw'!J743)</f>
        <v/>
      </c>
      <c r="B743" s="23" t="str">
        <f>IF('Clockify Raw'!K743="","",VALUE('Clockify Raw'!K743))</f>
        <v/>
      </c>
      <c r="C743" s="23" t="str">
        <f>IF('Clockify Raw'!M743="","",VALUE('Clockify Raw'!M743))</f>
        <v/>
      </c>
      <c r="D743" t="str">
        <f>IF('Clockify Raw'!A743="","",IF(LOWER('Clockify Raw'!A743)="break","Break","Work"))</f>
        <v/>
      </c>
      <c r="E743" t="str">
        <f>IF('Clockify Raw'!A743="","",IF(LOWER('Clockify Raw'!A743)="break","Break",IF('Clockify Raw'!C743&lt;&gt;"",'Clockify Raw'!C743,IF('Clockify Raw'!D743&lt;&gt;"",'Clockify Raw'!D743,'Clockify Raw'!A743))))</f>
        <v/>
      </c>
      <c r="F743" s="24" t="str">
        <f>IF('Clockify Raw'!O743="","",'Clockify Raw'!O743/24)</f>
        <v/>
      </c>
      <c r="G743" t="str">
        <f>IF(A743="","",COUNTIFS($A$2:$A$1000,A743,$B$2:$B$1000,"&lt;"&amp;B743)+COUNTIFS($A$2:A743,A743,$B$2:B743,B743))</f>
        <v/>
      </c>
      <c r="H743" t="str">
        <f t="shared" si="11"/>
        <v/>
      </c>
    </row>
    <row r="744" spans="1:8">
      <c r="A744" s="25" t="str">
        <f>IF('Clockify Raw'!J744="","",'Clockify Raw'!J744)</f>
        <v/>
      </c>
      <c r="B744" s="23" t="str">
        <f>IF('Clockify Raw'!K744="","",VALUE('Clockify Raw'!K744))</f>
        <v/>
      </c>
      <c r="C744" s="23" t="str">
        <f>IF('Clockify Raw'!M744="","",VALUE('Clockify Raw'!M744))</f>
        <v/>
      </c>
      <c r="D744" t="str">
        <f>IF('Clockify Raw'!A744="","",IF(LOWER('Clockify Raw'!A744)="break","Break","Work"))</f>
        <v/>
      </c>
      <c r="E744" t="str">
        <f>IF('Clockify Raw'!A744="","",IF(LOWER('Clockify Raw'!A744)="break","Break",IF('Clockify Raw'!C744&lt;&gt;"",'Clockify Raw'!C744,IF('Clockify Raw'!D744&lt;&gt;"",'Clockify Raw'!D744,'Clockify Raw'!A744))))</f>
        <v/>
      </c>
      <c r="F744" s="24" t="str">
        <f>IF('Clockify Raw'!O744="","",'Clockify Raw'!O744/24)</f>
        <v/>
      </c>
      <c r="G744" t="str">
        <f>IF(A744="","",COUNTIFS($A$2:$A$1000,A744,$B$2:$B$1000,"&lt;"&amp;B744)+COUNTIFS($A$2:A744,A744,$B$2:B744,B744))</f>
        <v/>
      </c>
      <c r="H744" t="str">
        <f t="shared" si="11"/>
        <v/>
      </c>
    </row>
    <row r="745" spans="1:8">
      <c r="A745" s="25" t="str">
        <f>IF('Clockify Raw'!J745="","",'Clockify Raw'!J745)</f>
        <v/>
      </c>
      <c r="B745" s="23" t="str">
        <f>IF('Clockify Raw'!K745="","",VALUE('Clockify Raw'!K745))</f>
        <v/>
      </c>
      <c r="C745" s="23" t="str">
        <f>IF('Clockify Raw'!M745="","",VALUE('Clockify Raw'!M745))</f>
        <v/>
      </c>
      <c r="D745" t="str">
        <f>IF('Clockify Raw'!A745="","",IF(LOWER('Clockify Raw'!A745)="break","Break","Work"))</f>
        <v/>
      </c>
      <c r="E745" t="str">
        <f>IF('Clockify Raw'!A745="","",IF(LOWER('Clockify Raw'!A745)="break","Break",IF('Clockify Raw'!C745&lt;&gt;"",'Clockify Raw'!C745,IF('Clockify Raw'!D745&lt;&gt;"",'Clockify Raw'!D745,'Clockify Raw'!A745))))</f>
        <v/>
      </c>
      <c r="F745" s="24" t="str">
        <f>IF('Clockify Raw'!O745="","",'Clockify Raw'!O745/24)</f>
        <v/>
      </c>
      <c r="G745" t="str">
        <f>IF(A745="","",COUNTIFS($A$2:$A$1000,A745,$B$2:$B$1000,"&lt;"&amp;B745)+COUNTIFS($A$2:A745,A745,$B$2:B745,B745))</f>
        <v/>
      </c>
      <c r="H745" t="str">
        <f t="shared" si="11"/>
        <v/>
      </c>
    </row>
    <row r="746" spans="1:8">
      <c r="A746" s="25" t="str">
        <f>IF('Clockify Raw'!J746="","",'Clockify Raw'!J746)</f>
        <v/>
      </c>
      <c r="B746" s="23" t="str">
        <f>IF('Clockify Raw'!K746="","",VALUE('Clockify Raw'!K746))</f>
        <v/>
      </c>
      <c r="C746" s="23" t="str">
        <f>IF('Clockify Raw'!M746="","",VALUE('Clockify Raw'!M746))</f>
        <v/>
      </c>
      <c r="D746" t="str">
        <f>IF('Clockify Raw'!A746="","",IF(LOWER('Clockify Raw'!A746)="break","Break","Work"))</f>
        <v/>
      </c>
      <c r="E746" t="str">
        <f>IF('Clockify Raw'!A746="","",IF(LOWER('Clockify Raw'!A746)="break","Break",IF('Clockify Raw'!C746&lt;&gt;"",'Clockify Raw'!C746,IF('Clockify Raw'!D746&lt;&gt;"",'Clockify Raw'!D746,'Clockify Raw'!A746))))</f>
        <v/>
      </c>
      <c r="F746" s="24" t="str">
        <f>IF('Clockify Raw'!O746="","",'Clockify Raw'!O746/24)</f>
        <v/>
      </c>
      <c r="G746" t="str">
        <f>IF(A746="","",COUNTIFS($A$2:$A$1000,A746,$B$2:$B$1000,"&lt;"&amp;B746)+COUNTIFS($A$2:A746,A746,$B$2:B746,B746))</f>
        <v/>
      </c>
      <c r="H746" t="str">
        <f t="shared" si="11"/>
        <v/>
      </c>
    </row>
    <row r="747" spans="1:8">
      <c r="A747" s="25" t="str">
        <f>IF('Clockify Raw'!J747="","",'Clockify Raw'!J747)</f>
        <v/>
      </c>
      <c r="B747" s="23" t="str">
        <f>IF('Clockify Raw'!K747="","",VALUE('Clockify Raw'!K747))</f>
        <v/>
      </c>
      <c r="C747" s="23" t="str">
        <f>IF('Clockify Raw'!M747="","",VALUE('Clockify Raw'!M747))</f>
        <v/>
      </c>
      <c r="D747" t="str">
        <f>IF('Clockify Raw'!A747="","",IF(LOWER('Clockify Raw'!A747)="break","Break","Work"))</f>
        <v/>
      </c>
      <c r="E747" t="str">
        <f>IF('Clockify Raw'!A747="","",IF(LOWER('Clockify Raw'!A747)="break","Break",IF('Clockify Raw'!C747&lt;&gt;"",'Clockify Raw'!C747,IF('Clockify Raw'!D747&lt;&gt;"",'Clockify Raw'!D747,'Clockify Raw'!A747))))</f>
        <v/>
      </c>
      <c r="F747" s="24" t="str">
        <f>IF('Clockify Raw'!O747="","",'Clockify Raw'!O747/24)</f>
        <v/>
      </c>
      <c r="G747" t="str">
        <f>IF(A747="","",COUNTIFS($A$2:$A$1000,A747,$B$2:$B$1000,"&lt;"&amp;B747)+COUNTIFS($A$2:A747,A747,$B$2:B747,B747))</f>
        <v/>
      </c>
      <c r="H747" t="str">
        <f t="shared" si="11"/>
        <v/>
      </c>
    </row>
    <row r="748" spans="1:8">
      <c r="A748" s="25" t="str">
        <f>IF('Clockify Raw'!J748="","",'Clockify Raw'!J748)</f>
        <v/>
      </c>
      <c r="B748" s="23" t="str">
        <f>IF('Clockify Raw'!K748="","",VALUE('Clockify Raw'!K748))</f>
        <v/>
      </c>
      <c r="C748" s="23" t="str">
        <f>IF('Clockify Raw'!M748="","",VALUE('Clockify Raw'!M748))</f>
        <v/>
      </c>
      <c r="D748" t="str">
        <f>IF('Clockify Raw'!A748="","",IF(LOWER('Clockify Raw'!A748)="break","Break","Work"))</f>
        <v/>
      </c>
      <c r="E748" t="str">
        <f>IF('Clockify Raw'!A748="","",IF(LOWER('Clockify Raw'!A748)="break","Break",IF('Clockify Raw'!C748&lt;&gt;"",'Clockify Raw'!C748,IF('Clockify Raw'!D748&lt;&gt;"",'Clockify Raw'!D748,'Clockify Raw'!A748))))</f>
        <v/>
      </c>
      <c r="F748" s="24" t="str">
        <f>IF('Clockify Raw'!O748="","",'Clockify Raw'!O748/24)</f>
        <v/>
      </c>
      <c r="G748" t="str">
        <f>IF(A748="","",COUNTIFS($A$2:$A$1000,A748,$B$2:$B$1000,"&lt;"&amp;B748)+COUNTIFS($A$2:A748,A748,$B$2:B748,B748))</f>
        <v/>
      </c>
      <c r="H748" t="str">
        <f t="shared" si="11"/>
        <v/>
      </c>
    </row>
    <row r="749" spans="1:8">
      <c r="A749" s="25" t="str">
        <f>IF('Clockify Raw'!J749="","",'Clockify Raw'!J749)</f>
        <v/>
      </c>
      <c r="B749" s="23" t="str">
        <f>IF('Clockify Raw'!K749="","",VALUE('Clockify Raw'!K749))</f>
        <v/>
      </c>
      <c r="C749" s="23" t="str">
        <f>IF('Clockify Raw'!M749="","",VALUE('Clockify Raw'!M749))</f>
        <v/>
      </c>
      <c r="D749" t="str">
        <f>IF('Clockify Raw'!A749="","",IF(LOWER('Clockify Raw'!A749)="break","Break","Work"))</f>
        <v/>
      </c>
      <c r="E749" t="str">
        <f>IF('Clockify Raw'!A749="","",IF(LOWER('Clockify Raw'!A749)="break","Break",IF('Clockify Raw'!C749&lt;&gt;"",'Clockify Raw'!C749,IF('Clockify Raw'!D749&lt;&gt;"",'Clockify Raw'!D749,'Clockify Raw'!A749))))</f>
        <v/>
      </c>
      <c r="F749" s="24" t="str">
        <f>IF('Clockify Raw'!O749="","",'Clockify Raw'!O749/24)</f>
        <v/>
      </c>
      <c r="G749" t="str">
        <f>IF(A749="","",COUNTIFS($A$2:$A$1000,A749,$B$2:$B$1000,"&lt;"&amp;B749)+COUNTIFS($A$2:A749,A749,$B$2:B749,B749))</f>
        <v/>
      </c>
      <c r="H749" t="str">
        <f t="shared" si="11"/>
        <v/>
      </c>
    </row>
    <row r="750" spans="1:8">
      <c r="A750" s="25" t="str">
        <f>IF('Clockify Raw'!J750="","",'Clockify Raw'!J750)</f>
        <v/>
      </c>
      <c r="B750" s="23" t="str">
        <f>IF('Clockify Raw'!K750="","",VALUE('Clockify Raw'!K750))</f>
        <v/>
      </c>
      <c r="C750" s="23" t="str">
        <f>IF('Clockify Raw'!M750="","",VALUE('Clockify Raw'!M750))</f>
        <v/>
      </c>
      <c r="D750" t="str">
        <f>IF('Clockify Raw'!A750="","",IF(LOWER('Clockify Raw'!A750)="break","Break","Work"))</f>
        <v/>
      </c>
      <c r="E750" t="str">
        <f>IF('Clockify Raw'!A750="","",IF(LOWER('Clockify Raw'!A750)="break","Break",IF('Clockify Raw'!C750&lt;&gt;"",'Clockify Raw'!C750,IF('Clockify Raw'!D750&lt;&gt;"",'Clockify Raw'!D750,'Clockify Raw'!A750))))</f>
        <v/>
      </c>
      <c r="F750" s="24" t="str">
        <f>IF('Clockify Raw'!O750="","",'Clockify Raw'!O750/24)</f>
        <v/>
      </c>
      <c r="G750" t="str">
        <f>IF(A750="","",COUNTIFS($A$2:$A$1000,A750,$B$2:$B$1000,"&lt;"&amp;B750)+COUNTIFS($A$2:A750,A750,$B$2:B750,B750))</f>
        <v/>
      </c>
      <c r="H750" t="str">
        <f t="shared" si="11"/>
        <v/>
      </c>
    </row>
    <row r="751" spans="1:8">
      <c r="A751" s="25" t="str">
        <f>IF('Clockify Raw'!J751="","",'Clockify Raw'!J751)</f>
        <v/>
      </c>
      <c r="B751" s="23" t="str">
        <f>IF('Clockify Raw'!K751="","",VALUE('Clockify Raw'!K751))</f>
        <v/>
      </c>
      <c r="C751" s="23" t="str">
        <f>IF('Clockify Raw'!M751="","",VALUE('Clockify Raw'!M751))</f>
        <v/>
      </c>
      <c r="D751" t="str">
        <f>IF('Clockify Raw'!A751="","",IF(LOWER('Clockify Raw'!A751)="break","Break","Work"))</f>
        <v/>
      </c>
      <c r="E751" t="str">
        <f>IF('Clockify Raw'!A751="","",IF(LOWER('Clockify Raw'!A751)="break","Break",IF('Clockify Raw'!C751&lt;&gt;"",'Clockify Raw'!C751,IF('Clockify Raw'!D751&lt;&gt;"",'Clockify Raw'!D751,'Clockify Raw'!A751))))</f>
        <v/>
      </c>
      <c r="F751" s="24" t="str">
        <f>IF('Clockify Raw'!O751="","",'Clockify Raw'!O751/24)</f>
        <v/>
      </c>
      <c r="G751" t="str">
        <f>IF(A751="","",COUNTIFS($A$2:$A$1000,A751,$B$2:$B$1000,"&lt;"&amp;B751)+COUNTIFS($A$2:A751,A751,$B$2:B751,B751))</f>
        <v/>
      </c>
      <c r="H751" t="str">
        <f t="shared" si="11"/>
        <v/>
      </c>
    </row>
    <row r="752" spans="1:8">
      <c r="A752" s="25" t="str">
        <f>IF('Clockify Raw'!J752="","",'Clockify Raw'!J752)</f>
        <v/>
      </c>
      <c r="B752" s="23" t="str">
        <f>IF('Clockify Raw'!K752="","",VALUE('Clockify Raw'!K752))</f>
        <v/>
      </c>
      <c r="C752" s="23" t="str">
        <f>IF('Clockify Raw'!M752="","",VALUE('Clockify Raw'!M752))</f>
        <v/>
      </c>
      <c r="D752" t="str">
        <f>IF('Clockify Raw'!A752="","",IF(LOWER('Clockify Raw'!A752)="break","Break","Work"))</f>
        <v/>
      </c>
      <c r="E752" t="str">
        <f>IF('Clockify Raw'!A752="","",IF(LOWER('Clockify Raw'!A752)="break","Break",IF('Clockify Raw'!C752&lt;&gt;"",'Clockify Raw'!C752,IF('Clockify Raw'!D752&lt;&gt;"",'Clockify Raw'!D752,'Clockify Raw'!A752))))</f>
        <v/>
      </c>
      <c r="F752" s="24" t="str">
        <f>IF('Clockify Raw'!O752="","",'Clockify Raw'!O752/24)</f>
        <v/>
      </c>
      <c r="G752" t="str">
        <f>IF(A752="","",COUNTIFS($A$2:$A$1000,A752,$B$2:$B$1000,"&lt;"&amp;B752)+COUNTIFS($A$2:A752,A752,$B$2:B752,B752))</f>
        <v/>
      </c>
      <c r="H752" t="str">
        <f t="shared" si="11"/>
        <v/>
      </c>
    </row>
    <row r="753" spans="1:8">
      <c r="A753" s="25" t="str">
        <f>IF('Clockify Raw'!J753="","",'Clockify Raw'!J753)</f>
        <v/>
      </c>
      <c r="B753" s="23" t="str">
        <f>IF('Clockify Raw'!K753="","",VALUE('Clockify Raw'!K753))</f>
        <v/>
      </c>
      <c r="C753" s="23" t="str">
        <f>IF('Clockify Raw'!M753="","",VALUE('Clockify Raw'!M753))</f>
        <v/>
      </c>
      <c r="D753" t="str">
        <f>IF('Clockify Raw'!A753="","",IF(LOWER('Clockify Raw'!A753)="break","Break","Work"))</f>
        <v/>
      </c>
      <c r="E753" t="str">
        <f>IF('Clockify Raw'!A753="","",IF(LOWER('Clockify Raw'!A753)="break","Break",IF('Clockify Raw'!C753&lt;&gt;"",'Clockify Raw'!C753,IF('Clockify Raw'!D753&lt;&gt;"",'Clockify Raw'!D753,'Clockify Raw'!A753))))</f>
        <v/>
      </c>
      <c r="F753" s="24" t="str">
        <f>IF('Clockify Raw'!O753="","",'Clockify Raw'!O753/24)</f>
        <v/>
      </c>
      <c r="G753" t="str">
        <f>IF(A753="","",COUNTIFS($A$2:$A$1000,A753,$B$2:$B$1000,"&lt;"&amp;B753)+COUNTIFS($A$2:A753,A753,$B$2:B753,B753))</f>
        <v/>
      </c>
      <c r="H753" t="str">
        <f t="shared" si="11"/>
        <v/>
      </c>
    </row>
    <row r="754" spans="1:8">
      <c r="A754" s="25" t="str">
        <f>IF('Clockify Raw'!J754="","",'Clockify Raw'!J754)</f>
        <v/>
      </c>
      <c r="B754" s="23" t="str">
        <f>IF('Clockify Raw'!K754="","",VALUE('Clockify Raw'!K754))</f>
        <v/>
      </c>
      <c r="C754" s="23" t="str">
        <f>IF('Clockify Raw'!M754="","",VALUE('Clockify Raw'!M754))</f>
        <v/>
      </c>
      <c r="D754" t="str">
        <f>IF('Clockify Raw'!A754="","",IF(LOWER('Clockify Raw'!A754)="break","Break","Work"))</f>
        <v/>
      </c>
      <c r="E754" t="str">
        <f>IF('Clockify Raw'!A754="","",IF(LOWER('Clockify Raw'!A754)="break","Break",IF('Clockify Raw'!C754&lt;&gt;"",'Clockify Raw'!C754,IF('Clockify Raw'!D754&lt;&gt;"",'Clockify Raw'!D754,'Clockify Raw'!A754))))</f>
        <v/>
      </c>
      <c r="F754" s="24" t="str">
        <f>IF('Clockify Raw'!O754="","",'Clockify Raw'!O754/24)</f>
        <v/>
      </c>
      <c r="G754" t="str">
        <f>IF(A754="","",COUNTIFS($A$2:$A$1000,A754,$B$2:$B$1000,"&lt;"&amp;B754)+COUNTIFS($A$2:A754,A754,$B$2:B754,B754))</f>
        <v/>
      </c>
      <c r="H754" t="str">
        <f t="shared" si="11"/>
        <v/>
      </c>
    </row>
    <row r="755" spans="1:8">
      <c r="A755" s="25" t="str">
        <f>IF('Clockify Raw'!J755="","",'Clockify Raw'!J755)</f>
        <v/>
      </c>
      <c r="B755" s="23" t="str">
        <f>IF('Clockify Raw'!K755="","",VALUE('Clockify Raw'!K755))</f>
        <v/>
      </c>
      <c r="C755" s="23" t="str">
        <f>IF('Clockify Raw'!M755="","",VALUE('Clockify Raw'!M755))</f>
        <v/>
      </c>
      <c r="D755" t="str">
        <f>IF('Clockify Raw'!A755="","",IF(LOWER('Clockify Raw'!A755)="break","Break","Work"))</f>
        <v/>
      </c>
      <c r="E755" t="str">
        <f>IF('Clockify Raw'!A755="","",IF(LOWER('Clockify Raw'!A755)="break","Break",IF('Clockify Raw'!C755&lt;&gt;"",'Clockify Raw'!C755,IF('Clockify Raw'!D755&lt;&gt;"",'Clockify Raw'!D755,'Clockify Raw'!A755))))</f>
        <v/>
      </c>
      <c r="F755" s="24" t="str">
        <f>IF('Clockify Raw'!O755="","",'Clockify Raw'!O755/24)</f>
        <v/>
      </c>
      <c r="G755" t="str">
        <f>IF(A755="","",COUNTIFS($A$2:$A$1000,A755,$B$2:$B$1000,"&lt;"&amp;B755)+COUNTIFS($A$2:A755,A755,$B$2:B755,B755))</f>
        <v/>
      </c>
      <c r="H755" t="str">
        <f t="shared" si="11"/>
        <v/>
      </c>
    </row>
    <row r="756" spans="1:8">
      <c r="A756" s="25" t="str">
        <f>IF('Clockify Raw'!J756="","",'Clockify Raw'!J756)</f>
        <v/>
      </c>
      <c r="B756" s="23" t="str">
        <f>IF('Clockify Raw'!K756="","",VALUE('Clockify Raw'!K756))</f>
        <v/>
      </c>
      <c r="C756" s="23" t="str">
        <f>IF('Clockify Raw'!M756="","",VALUE('Clockify Raw'!M756))</f>
        <v/>
      </c>
      <c r="D756" t="str">
        <f>IF('Clockify Raw'!A756="","",IF(LOWER('Clockify Raw'!A756)="break","Break","Work"))</f>
        <v/>
      </c>
      <c r="E756" t="str">
        <f>IF('Clockify Raw'!A756="","",IF(LOWER('Clockify Raw'!A756)="break","Break",IF('Clockify Raw'!C756&lt;&gt;"",'Clockify Raw'!C756,IF('Clockify Raw'!D756&lt;&gt;"",'Clockify Raw'!D756,'Clockify Raw'!A756))))</f>
        <v/>
      </c>
      <c r="F756" s="24" t="str">
        <f>IF('Clockify Raw'!O756="","",'Clockify Raw'!O756/24)</f>
        <v/>
      </c>
      <c r="G756" t="str">
        <f>IF(A756="","",COUNTIFS($A$2:$A$1000,A756,$B$2:$B$1000,"&lt;"&amp;B756)+COUNTIFS($A$2:A756,A756,$B$2:B756,B756))</f>
        <v/>
      </c>
      <c r="H756" t="str">
        <f t="shared" si="11"/>
        <v/>
      </c>
    </row>
    <row r="757" spans="1:8">
      <c r="A757" s="25" t="str">
        <f>IF('Clockify Raw'!J757="","",'Clockify Raw'!J757)</f>
        <v/>
      </c>
      <c r="B757" s="23" t="str">
        <f>IF('Clockify Raw'!K757="","",VALUE('Clockify Raw'!K757))</f>
        <v/>
      </c>
      <c r="C757" s="23" t="str">
        <f>IF('Clockify Raw'!M757="","",VALUE('Clockify Raw'!M757))</f>
        <v/>
      </c>
      <c r="D757" t="str">
        <f>IF('Clockify Raw'!A757="","",IF(LOWER('Clockify Raw'!A757)="break","Break","Work"))</f>
        <v/>
      </c>
      <c r="E757" t="str">
        <f>IF('Clockify Raw'!A757="","",IF(LOWER('Clockify Raw'!A757)="break","Break",IF('Clockify Raw'!C757&lt;&gt;"",'Clockify Raw'!C757,IF('Clockify Raw'!D757&lt;&gt;"",'Clockify Raw'!D757,'Clockify Raw'!A757))))</f>
        <v/>
      </c>
      <c r="F757" s="24" t="str">
        <f>IF('Clockify Raw'!O757="","",'Clockify Raw'!O757/24)</f>
        <v/>
      </c>
      <c r="G757" t="str">
        <f>IF(A757="","",COUNTIFS($A$2:$A$1000,A757,$B$2:$B$1000,"&lt;"&amp;B757)+COUNTIFS($A$2:A757,A757,$B$2:B757,B757))</f>
        <v/>
      </c>
      <c r="H757" t="str">
        <f t="shared" si="11"/>
        <v/>
      </c>
    </row>
    <row r="758" spans="1:8">
      <c r="A758" s="25" t="str">
        <f>IF('Clockify Raw'!J758="","",'Clockify Raw'!J758)</f>
        <v/>
      </c>
      <c r="B758" s="23" t="str">
        <f>IF('Clockify Raw'!K758="","",VALUE('Clockify Raw'!K758))</f>
        <v/>
      </c>
      <c r="C758" s="23" t="str">
        <f>IF('Clockify Raw'!M758="","",VALUE('Clockify Raw'!M758))</f>
        <v/>
      </c>
      <c r="D758" t="str">
        <f>IF('Clockify Raw'!A758="","",IF(LOWER('Clockify Raw'!A758)="break","Break","Work"))</f>
        <v/>
      </c>
      <c r="E758" t="str">
        <f>IF('Clockify Raw'!A758="","",IF(LOWER('Clockify Raw'!A758)="break","Break",IF('Clockify Raw'!C758&lt;&gt;"",'Clockify Raw'!C758,IF('Clockify Raw'!D758&lt;&gt;"",'Clockify Raw'!D758,'Clockify Raw'!A758))))</f>
        <v/>
      </c>
      <c r="F758" s="24" t="str">
        <f>IF('Clockify Raw'!O758="","",'Clockify Raw'!O758/24)</f>
        <v/>
      </c>
      <c r="G758" t="str">
        <f>IF(A758="","",COUNTIFS($A$2:$A$1000,A758,$B$2:$B$1000,"&lt;"&amp;B758)+COUNTIFS($A$2:A758,A758,$B$2:B758,B758))</f>
        <v/>
      </c>
      <c r="H758" t="str">
        <f t="shared" si="11"/>
        <v/>
      </c>
    </row>
    <row r="759" spans="1:8">
      <c r="A759" s="25" t="str">
        <f>IF('Clockify Raw'!J759="","",'Clockify Raw'!J759)</f>
        <v/>
      </c>
      <c r="B759" s="23" t="str">
        <f>IF('Clockify Raw'!K759="","",VALUE('Clockify Raw'!K759))</f>
        <v/>
      </c>
      <c r="C759" s="23" t="str">
        <f>IF('Clockify Raw'!M759="","",VALUE('Clockify Raw'!M759))</f>
        <v/>
      </c>
      <c r="D759" t="str">
        <f>IF('Clockify Raw'!A759="","",IF(LOWER('Clockify Raw'!A759)="break","Break","Work"))</f>
        <v/>
      </c>
      <c r="E759" t="str">
        <f>IF('Clockify Raw'!A759="","",IF(LOWER('Clockify Raw'!A759)="break","Break",IF('Clockify Raw'!C759&lt;&gt;"",'Clockify Raw'!C759,IF('Clockify Raw'!D759&lt;&gt;"",'Clockify Raw'!D759,'Clockify Raw'!A759))))</f>
        <v/>
      </c>
      <c r="F759" s="24" t="str">
        <f>IF('Clockify Raw'!O759="","",'Clockify Raw'!O759/24)</f>
        <v/>
      </c>
      <c r="G759" t="str">
        <f>IF(A759="","",COUNTIFS($A$2:$A$1000,A759,$B$2:$B$1000,"&lt;"&amp;B759)+COUNTIFS($A$2:A759,A759,$B$2:B759,B759))</f>
        <v/>
      </c>
      <c r="H759" t="str">
        <f t="shared" si="11"/>
        <v/>
      </c>
    </row>
    <row r="760" spans="1:8">
      <c r="A760" s="25" t="str">
        <f>IF('Clockify Raw'!J760="","",'Clockify Raw'!J760)</f>
        <v/>
      </c>
      <c r="B760" s="23" t="str">
        <f>IF('Clockify Raw'!K760="","",VALUE('Clockify Raw'!K760))</f>
        <v/>
      </c>
      <c r="C760" s="23" t="str">
        <f>IF('Clockify Raw'!M760="","",VALUE('Clockify Raw'!M760))</f>
        <v/>
      </c>
      <c r="D760" t="str">
        <f>IF('Clockify Raw'!A760="","",IF(LOWER('Clockify Raw'!A760)="break","Break","Work"))</f>
        <v/>
      </c>
      <c r="E760" t="str">
        <f>IF('Clockify Raw'!A760="","",IF(LOWER('Clockify Raw'!A760)="break","Break",IF('Clockify Raw'!C760&lt;&gt;"",'Clockify Raw'!C760,IF('Clockify Raw'!D760&lt;&gt;"",'Clockify Raw'!D760,'Clockify Raw'!A760))))</f>
        <v/>
      </c>
      <c r="F760" s="24" t="str">
        <f>IF('Clockify Raw'!O760="","",'Clockify Raw'!O760/24)</f>
        <v/>
      </c>
      <c r="G760" t="str">
        <f>IF(A760="","",COUNTIFS($A$2:$A$1000,A760,$B$2:$B$1000,"&lt;"&amp;B760)+COUNTIFS($A$2:A760,A760,$B$2:B760,B760))</f>
        <v/>
      </c>
      <c r="H760" t="str">
        <f t="shared" si="11"/>
        <v/>
      </c>
    </row>
    <row r="761" spans="1:8">
      <c r="A761" s="25" t="str">
        <f>IF('Clockify Raw'!J761="","",'Clockify Raw'!J761)</f>
        <v/>
      </c>
      <c r="B761" s="23" t="str">
        <f>IF('Clockify Raw'!K761="","",VALUE('Clockify Raw'!K761))</f>
        <v/>
      </c>
      <c r="C761" s="23" t="str">
        <f>IF('Clockify Raw'!M761="","",VALUE('Clockify Raw'!M761))</f>
        <v/>
      </c>
      <c r="D761" t="str">
        <f>IF('Clockify Raw'!A761="","",IF(LOWER('Clockify Raw'!A761)="break","Break","Work"))</f>
        <v/>
      </c>
      <c r="E761" t="str">
        <f>IF('Clockify Raw'!A761="","",IF(LOWER('Clockify Raw'!A761)="break","Break",IF('Clockify Raw'!C761&lt;&gt;"",'Clockify Raw'!C761,IF('Clockify Raw'!D761&lt;&gt;"",'Clockify Raw'!D761,'Clockify Raw'!A761))))</f>
        <v/>
      </c>
      <c r="F761" s="24" t="str">
        <f>IF('Clockify Raw'!O761="","",'Clockify Raw'!O761/24)</f>
        <v/>
      </c>
      <c r="G761" t="str">
        <f>IF(A761="","",COUNTIFS($A$2:$A$1000,A761,$B$2:$B$1000,"&lt;"&amp;B761)+COUNTIFS($A$2:A761,A761,$B$2:B761,B761))</f>
        <v/>
      </c>
      <c r="H761" t="str">
        <f t="shared" si="11"/>
        <v/>
      </c>
    </row>
    <row r="762" spans="1:8">
      <c r="A762" s="25" t="str">
        <f>IF('Clockify Raw'!J762="","",'Clockify Raw'!J762)</f>
        <v/>
      </c>
      <c r="B762" s="23" t="str">
        <f>IF('Clockify Raw'!K762="","",VALUE('Clockify Raw'!K762))</f>
        <v/>
      </c>
      <c r="C762" s="23" t="str">
        <f>IF('Clockify Raw'!M762="","",VALUE('Clockify Raw'!M762))</f>
        <v/>
      </c>
      <c r="D762" t="str">
        <f>IF('Clockify Raw'!A762="","",IF(LOWER('Clockify Raw'!A762)="break","Break","Work"))</f>
        <v/>
      </c>
      <c r="E762" t="str">
        <f>IF('Clockify Raw'!A762="","",IF(LOWER('Clockify Raw'!A762)="break","Break",IF('Clockify Raw'!C762&lt;&gt;"",'Clockify Raw'!C762,IF('Clockify Raw'!D762&lt;&gt;"",'Clockify Raw'!D762,'Clockify Raw'!A762))))</f>
        <v/>
      </c>
      <c r="F762" s="24" t="str">
        <f>IF('Clockify Raw'!O762="","",'Clockify Raw'!O762/24)</f>
        <v/>
      </c>
      <c r="G762" t="str">
        <f>IF(A762="","",COUNTIFS($A$2:$A$1000,A762,$B$2:$B$1000,"&lt;"&amp;B762)+COUNTIFS($A$2:A762,A762,$B$2:B762,B762))</f>
        <v/>
      </c>
      <c r="H762" t="str">
        <f t="shared" si="11"/>
        <v/>
      </c>
    </row>
    <row r="763" spans="1:8">
      <c r="A763" s="25" t="str">
        <f>IF('Clockify Raw'!J763="","",'Clockify Raw'!J763)</f>
        <v/>
      </c>
      <c r="B763" s="23" t="str">
        <f>IF('Clockify Raw'!K763="","",VALUE('Clockify Raw'!K763))</f>
        <v/>
      </c>
      <c r="C763" s="23" t="str">
        <f>IF('Clockify Raw'!M763="","",VALUE('Clockify Raw'!M763))</f>
        <v/>
      </c>
      <c r="D763" t="str">
        <f>IF('Clockify Raw'!A763="","",IF(LOWER('Clockify Raw'!A763)="break","Break","Work"))</f>
        <v/>
      </c>
      <c r="E763" t="str">
        <f>IF('Clockify Raw'!A763="","",IF(LOWER('Clockify Raw'!A763)="break","Break",IF('Clockify Raw'!C763&lt;&gt;"",'Clockify Raw'!C763,IF('Clockify Raw'!D763&lt;&gt;"",'Clockify Raw'!D763,'Clockify Raw'!A763))))</f>
        <v/>
      </c>
      <c r="F763" s="24" t="str">
        <f>IF('Clockify Raw'!O763="","",'Clockify Raw'!O763/24)</f>
        <v/>
      </c>
      <c r="G763" t="str">
        <f>IF(A763="","",COUNTIFS($A$2:$A$1000,A763,$B$2:$B$1000,"&lt;"&amp;B763)+COUNTIFS($A$2:A763,A763,$B$2:B763,B763))</f>
        <v/>
      </c>
      <c r="H763" t="str">
        <f t="shared" si="11"/>
        <v/>
      </c>
    </row>
    <row r="764" spans="1:8">
      <c r="A764" s="25" t="str">
        <f>IF('Clockify Raw'!J764="","",'Clockify Raw'!J764)</f>
        <v/>
      </c>
      <c r="B764" s="23" t="str">
        <f>IF('Clockify Raw'!K764="","",VALUE('Clockify Raw'!K764))</f>
        <v/>
      </c>
      <c r="C764" s="23" t="str">
        <f>IF('Clockify Raw'!M764="","",VALUE('Clockify Raw'!M764))</f>
        <v/>
      </c>
      <c r="D764" t="str">
        <f>IF('Clockify Raw'!A764="","",IF(LOWER('Clockify Raw'!A764)="break","Break","Work"))</f>
        <v/>
      </c>
      <c r="E764" t="str">
        <f>IF('Clockify Raw'!A764="","",IF(LOWER('Clockify Raw'!A764)="break","Break",IF('Clockify Raw'!C764&lt;&gt;"",'Clockify Raw'!C764,IF('Clockify Raw'!D764&lt;&gt;"",'Clockify Raw'!D764,'Clockify Raw'!A764))))</f>
        <v/>
      </c>
      <c r="F764" s="24" t="str">
        <f>IF('Clockify Raw'!O764="","",'Clockify Raw'!O764/24)</f>
        <v/>
      </c>
      <c r="G764" t="str">
        <f>IF(A764="","",COUNTIFS($A$2:$A$1000,A764,$B$2:$B$1000,"&lt;"&amp;B764)+COUNTIFS($A$2:A764,A764,$B$2:B764,B764))</f>
        <v/>
      </c>
      <c r="H764" t="str">
        <f t="shared" si="11"/>
        <v/>
      </c>
    </row>
    <row r="765" spans="1:8">
      <c r="A765" s="25" t="str">
        <f>IF('Clockify Raw'!J765="","",'Clockify Raw'!J765)</f>
        <v/>
      </c>
      <c r="B765" s="23" t="str">
        <f>IF('Clockify Raw'!K765="","",VALUE('Clockify Raw'!K765))</f>
        <v/>
      </c>
      <c r="C765" s="23" t="str">
        <f>IF('Clockify Raw'!M765="","",VALUE('Clockify Raw'!M765))</f>
        <v/>
      </c>
      <c r="D765" t="str">
        <f>IF('Clockify Raw'!A765="","",IF(LOWER('Clockify Raw'!A765)="break","Break","Work"))</f>
        <v/>
      </c>
      <c r="E765" t="str">
        <f>IF('Clockify Raw'!A765="","",IF(LOWER('Clockify Raw'!A765)="break","Break",IF('Clockify Raw'!C765&lt;&gt;"",'Clockify Raw'!C765,IF('Clockify Raw'!D765&lt;&gt;"",'Clockify Raw'!D765,'Clockify Raw'!A765))))</f>
        <v/>
      </c>
      <c r="F765" s="24" t="str">
        <f>IF('Clockify Raw'!O765="","",'Clockify Raw'!O765/24)</f>
        <v/>
      </c>
      <c r="G765" t="str">
        <f>IF(A765="","",COUNTIFS($A$2:$A$1000,A765,$B$2:$B$1000,"&lt;"&amp;B765)+COUNTIFS($A$2:A765,A765,$B$2:B765,B765))</f>
        <v/>
      </c>
      <c r="H765" t="str">
        <f t="shared" si="11"/>
        <v/>
      </c>
    </row>
    <row r="766" spans="1:8">
      <c r="A766" s="25" t="str">
        <f>IF('Clockify Raw'!J766="","",'Clockify Raw'!J766)</f>
        <v/>
      </c>
      <c r="B766" s="23" t="str">
        <f>IF('Clockify Raw'!K766="","",VALUE('Clockify Raw'!K766))</f>
        <v/>
      </c>
      <c r="C766" s="23" t="str">
        <f>IF('Clockify Raw'!M766="","",VALUE('Clockify Raw'!M766))</f>
        <v/>
      </c>
      <c r="D766" t="str">
        <f>IF('Clockify Raw'!A766="","",IF(LOWER('Clockify Raw'!A766)="break","Break","Work"))</f>
        <v/>
      </c>
      <c r="E766" t="str">
        <f>IF('Clockify Raw'!A766="","",IF(LOWER('Clockify Raw'!A766)="break","Break",IF('Clockify Raw'!C766&lt;&gt;"",'Clockify Raw'!C766,IF('Clockify Raw'!D766&lt;&gt;"",'Clockify Raw'!D766,'Clockify Raw'!A766))))</f>
        <v/>
      </c>
      <c r="F766" s="24" t="str">
        <f>IF('Clockify Raw'!O766="","",'Clockify Raw'!O766/24)</f>
        <v/>
      </c>
      <c r="G766" t="str">
        <f>IF(A766="","",COUNTIFS($A$2:$A$1000,A766,$B$2:$B$1000,"&lt;"&amp;B766)+COUNTIFS($A$2:A766,A766,$B$2:B766,B766))</f>
        <v/>
      </c>
      <c r="H766" t="str">
        <f t="shared" si="11"/>
        <v/>
      </c>
    </row>
    <row r="767" spans="1:8">
      <c r="A767" s="25" t="str">
        <f>IF('Clockify Raw'!J767="","",'Clockify Raw'!J767)</f>
        <v/>
      </c>
      <c r="B767" s="23" t="str">
        <f>IF('Clockify Raw'!K767="","",VALUE('Clockify Raw'!K767))</f>
        <v/>
      </c>
      <c r="C767" s="23" t="str">
        <f>IF('Clockify Raw'!M767="","",VALUE('Clockify Raw'!M767))</f>
        <v/>
      </c>
      <c r="D767" t="str">
        <f>IF('Clockify Raw'!A767="","",IF(LOWER('Clockify Raw'!A767)="break","Break","Work"))</f>
        <v/>
      </c>
      <c r="E767" t="str">
        <f>IF('Clockify Raw'!A767="","",IF(LOWER('Clockify Raw'!A767)="break","Break",IF('Clockify Raw'!C767&lt;&gt;"",'Clockify Raw'!C767,IF('Clockify Raw'!D767&lt;&gt;"",'Clockify Raw'!D767,'Clockify Raw'!A767))))</f>
        <v/>
      </c>
      <c r="F767" s="24" t="str">
        <f>IF('Clockify Raw'!O767="","",'Clockify Raw'!O767/24)</f>
        <v/>
      </c>
      <c r="G767" t="str">
        <f>IF(A767="","",COUNTIFS($A$2:$A$1000,A767,$B$2:$B$1000,"&lt;"&amp;B767)+COUNTIFS($A$2:A767,A767,$B$2:B767,B767))</f>
        <v/>
      </c>
      <c r="H767" t="str">
        <f t="shared" si="11"/>
        <v/>
      </c>
    </row>
    <row r="768" spans="1:8">
      <c r="A768" s="25" t="str">
        <f>IF('Clockify Raw'!J768="","",'Clockify Raw'!J768)</f>
        <v/>
      </c>
      <c r="B768" s="23" t="str">
        <f>IF('Clockify Raw'!K768="","",VALUE('Clockify Raw'!K768))</f>
        <v/>
      </c>
      <c r="C768" s="23" t="str">
        <f>IF('Clockify Raw'!M768="","",VALUE('Clockify Raw'!M768))</f>
        <v/>
      </c>
      <c r="D768" t="str">
        <f>IF('Clockify Raw'!A768="","",IF(LOWER('Clockify Raw'!A768)="break","Break","Work"))</f>
        <v/>
      </c>
      <c r="E768" t="str">
        <f>IF('Clockify Raw'!A768="","",IF(LOWER('Clockify Raw'!A768)="break","Break",IF('Clockify Raw'!C768&lt;&gt;"",'Clockify Raw'!C768,IF('Clockify Raw'!D768&lt;&gt;"",'Clockify Raw'!D768,'Clockify Raw'!A768))))</f>
        <v/>
      </c>
      <c r="F768" s="24" t="str">
        <f>IF('Clockify Raw'!O768="","",'Clockify Raw'!O768/24)</f>
        <v/>
      </c>
      <c r="G768" t="str">
        <f>IF(A768="","",COUNTIFS($A$2:$A$1000,A768,$B$2:$B$1000,"&lt;"&amp;B768)+COUNTIFS($A$2:A768,A768,$B$2:B768,B768))</f>
        <v/>
      </c>
      <c r="H768" t="str">
        <f t="shared" si="11"/>
        <v/>
      </c>
    </row>
    <row r="769" spans="1:8">
      <c r="A769" s="25" t="str">
        <f>IF('Clockify Raw'!J769="","",'Clockify Raw'!J769)</f>
        <v/>
      </c>
      <c r="B769" s="23" t="str">
        <f>IF('Clockify Raw'!K769="","",VALUE('Clockify Raw'!K769))</f>
        <v/>
      </c>
      <c r="C769" s="23" t="str">
        <f>IF('Clockify Raw'!M769="","",VALUE('Clockify Raw'!M769))</f>
        <v/>
      </c>
      <c r="D769" t="str">
        <f>IF('Clockify Raw'!A769="","",IF(LOWER('Clockify Raw'!A769)="break","Break","Work"))</f>
        <v/>
      </c>
      <c r="E769" t="str">
        <f>IF('Clockify Raw'!A769="","",IF(LOWER('Clockify Raw'!A769)="break","Break",IF('Clockify Raw'!C769&lt;&gt;"",'Clockify Raw'!C769,IF('Clockify Raw'!D769&lt;&gt;"",'Clockify Raw'!D769,'Clockify Raw'!A769))))</f>
        <v/>
      </c>
      <c r="F769" s="24" t="str">
        <f>IF('Clockify Raw'!O769="","",'Clockify Raw'!O769/24)</f>
        <v/>
      </c>
      <c r="G769" t="str">
        <f>IF(A769="","",COUNTIFS($A$2:$A$1000,A769,$B$2:$B$1000,"&lt;"&amp;B769)+COUNTIFS($A$2:A769,A769,$B$2:B769,B769))</f>
        <v/>
      </c>
      <c r="H769" t="str">
        <f t="shared" si="11"/>
        <v/>
      </c>
    </row>
    <row r="770" spans="1:8">
      <c r="A770" s="25" t="str">
        <f>IF('Clockify Raw'!J770="","",'Clockify Raw'!J770)</f>
        <v/>
      </c>
      <c r="B770" s="23" t="str">
        <f>IF('Clockify Raw'!K770="","",VALUE('Clockify Raw'!K770))</f>
        <v/>
      </c>
      <c r="C770" s="23" t="str">
        <f>IF('Clockify Raw'!M770="","",VALUE('Clockify Raw'!M770))</f>
        <v/>
      </c>
      <c r="D770" t="str">
        <f>IF('Clockify Raw'!A770="","",IF(LOWER('Clockify Raw'!A770)="break","Break","Work"))</f>
        <v/>
      </c>
      <c r="E770" t="str">
        <f>IF('Clockify Raw'!A770="","",IF(LOWER('Clockify Raw'!A770)="break","Break",IF('Clockify Raw'!C770&lt;&gt;"",'Clockify Raw'!C770,IF('Clockify Raw'!D770&lt;&gt;"",'Clockify Raw'!D770,'Clockify Raw'!A770))))</f>
        <v/>
      </c>
      <c r="F770" s="24" t="str">
        <f>IF('Clockify Raw'!O770="","",'Clockify Raw'!O770/24)</f>
        <v/>
      </c>
      <c r="G770" t="str">
        <f>IF(A770="","",COUNTIFS($A$2:$A$1000,A770,$B$2:$B$1000,"&lt;"&amp;B770)+COUNTIFS($A$2:A770,A770,$B$2:B770,B770))</f>
        <v/>
      </c>
      <c r="H770" t="str">
        <f t="shared" ref="H770:H833" si="12">IF(A770="","",TEXT(A770,"yyyymmdd")&amp;"|"&amp;G770)</f>
        <v/>
      </c>
    </row>
    <row r="771" spans="1:8">
      <c r="A771" s="25" t="str">
        <f>IF('Clockify Raw'!J771="","",'Clockify Raw'!J771)</f>
        <v/>
      </c>
      <c r="B771" s="23" t="str">
        <f>IF('Clockify Raw'!K771="","",VALUE('Clockify Raw'!K771))</f>
        <v/>
      </c>
      <c r="C771" s="23" t="str">
        <f>IF('Clockify Raw'!M771="","",VALUE('Clockify Raw'!M771))</f>
        <v/>
      </c>
      <c r="D771" t="str">
        <f>IF('Clockify Raw'!A771="","",IF(LOWER('Clockify Raw'!A771)="break","Break","Work"))</f>
        <v/>
      </c>
      <c r="E771" t="str">
        <f>IF('Clockify Raw'!A771="","",IF(LOWER('Clockify Raw'!A771)="break","Break",IF('Clockify Raw'!C771&lt;&gt;"",'Clockify Raw'!C771,IF('Clockify Raw'!D771&lt;&gt;"",'Clockify Raw'!D771,'Clockify Raw'!A771))))</f>
        <v/>
      </c>
      <c r="F771" s="24" t="str">
        <f>IF('Clockify Raw'!O771="","",'Clockify Raw'!O771/24)</f>
        <v/>
      </c>
      <c r="G771" t="str">
        <f>IF(A771="","",COUNTIFS($A$2:$A$1000,A771,$B$2:$B$1000,"&lt;"&amp;B771)+COUNTIFS($A$2:A771,A771,$B$2:B771,B771))</f>
        <v/>
      </c>
      <c r="H771" t="str">
        <f t="shared" si="12"/>
        <v/>
      </c>
    </row>
    <row r="772" spans="1:8">
      <c r="A772" s="25" t="str">
        <f>IF('Clockify Raw'!J772="","",'Clockify Raw'!J772)</f>
        <v/>
      </c>
      <c r="B772" s="23" t="str">
        <f>IF('Clockify Raw'!K772="","",VALUE('Clockify Raw'!K772))</f>
        <v/>
      </c>
      <c r="C772" s="23" t="str">
        <f>IF('Clockify Raw'!M772="","",VALUE('Clockify Raw'!M772))</f>
        <v/>
      </c>
      <c r="D772" t="str">
        <f>IF('Clockify Raw'!A772="","",IF(LOWER('Clockify Raw'!A772)="break","Break","Work"))</f>
        <v/>
      </c>
      <c r="E772" t="str">
        <f>IF('Clockify Raw'!A772="","",IF(LOWER('Clockify Raw'!A772)="break","Break",IF('Clockify Raw'!C772&lt;&gt;"",'Clockify Raw'!C772,IF('Clockify Raw'!D772&lt;&gt;"",'Clockify Raw'!D772,'Clockify Raw'!A772))))</f>
        <v/>
      </c>
      <c r="F772" s="24" t="str">
        <f>IF('Clockify Raw'!O772="","",'Clockify Raw'!O772/24)</f>
        <v/>
      </c>
      <c r="G772" t="str">
        <f>IF(A772="","",COUNTIFS($A$2:$A$1000,A772,$B$2:$B$1000,"&lt;"&amp;B772)+COUNTIFS($A$2:A772,A772,$B$2:B772,B772))</f>
        <v/>
      </c>
      <c r="H772" t="str">
        <f t="shared" si="12"/>
        <v/>
      </c>
    </row>
    <row r="773" spans="1:8">
      <c r="A773" s="25" t="str">
        <f>IF('Clockify Raw'!J773="","",'Clockify Raw'!J773)</f>
        <v/>
      </c>
      <c r="B773" s="23" t="str">
        <f>IF('Clockify Raw'!K773="","",VALUE('Clockify Raw'!K773))</f>
        <v/>
      </c>
      <c r="C773" s="23" t="str">
        <f>IF('Clockify Raw'!M773="","",VALUE('Clockify Raw'!M773))</f>
        <v/>
      </c>
      <c r="D773" t="str">
        <f>IF('Clockify Raw'!A773="","",IF(LOWER('Clockify Raw'!A773)="break","Break","Work"))</f>
        <v/>
      </c>
      <c r="E773" t="str">
        <f>IF('Clockify Raw'!A773="","",IF(LOWER('Clockify Raw'!A773)="break","Break",IF('Clockify Raw'!C773&lt;&gt;"",'Clockify Raw'!C773,IF('Clockify Raw'!D773&lt;&gt;"",'Clockify Raw'!D773,'Clockify Raw'!A773))))</f>
        <v/>
      </c>
      <c r="F773" s="24" t="str">
        <f>IF('Clockify Raw'!O773="","",'Clockify Raw'!O773/24)</f>
        <v/>
      </c>
      <c r="G773" t="str">
        <f>IF(A773="","",COUNTIFS($A$2:$A$1000,A773,$B$2:$B$1000,"&lt;"&amp;B773)+COUNTIFS($A$2:A773,A773,$B$2:B773,B773))</f>
        <v/>
      </c>
      <c r="H773" t="str">
        <f t="shared" si="12"/>
        <v/>
      </c>
    </row>
    <row r="774" spans="1:8">
      <c r="A774" s="25" t="str">
        <f>IF('Clockify Raw'!J774="","",'Clockify Raw'!J774)</f>
        <v/>
      </c>
      <c r="B774" s="23" t="str">
        <f>IF('Clockify Raw'!K774="","",VALUE('Clockify Raw'!K774))</f>
        <v/>
      </c>
      <c r="C774" s="23" t="str">
        <f>IF('Clockify Raw'!M774="","",VALUE('Clockify Raw'!M774))</f>
        <v/>
      </c>
      <c r="D774" t="str">
        <f>IF('Clockify Raw'!A774="","",IF(LOWER('Clockify Raw'!A774)="break","Break","Work"))</f>
        <v/>
      </c>
      <c r="E774" t="str">
        <f>IF('Clockify Raw'!A774="","",IF(LOWER('Clockify Raw'!A774)="break","Break",IF('Clockify Raw'!C774&lt;&gt;"",'Clockify Raw'!C774,IF('Clockify Raw'!D774&lt;&gt;"",'Clockify Raw'!D774,'Clockify Raw'!A774))))</f>
        <v/>
      </c>
      <c r="F774" s="24" t="str">
        <f>IF('Clockify Raw'!O774="","",'Clockify Raw'!O774/24)</f>
        <v/>
      </c>
      <c r="G774" t="str">
        <f>IF(A774="","",COUNTIFS($A$2:$A$1000,A774,$B$2:$B$1000,"&lt;"&amp;B774)+COUNTIFS($A$2:A774,A774,$B$2:B774,B774))</f>
        <v/>
      </c>
      <c r="H774" t="str">
        <f t="shared" si="12"/>
        <v/>
      </c>
    </row>
    <row r="775" spans="1:8">
      <c r="A775" s="25" t="str">
        <f>IF('Clockify Raw'!J775="","",'Clockify Raw'!J775)</f>
        <v/>
      </c>
      <c r="B775" s="23" t="str">
        <f>IF('Clockify Raw'!K775="","",VALUE('Clockify Raw'!K775))</f>
        <v/>
      </c>
      <c r="C775" s="23" t="str">
        <f>IF('Clockify Raw'!M775="","",VALUE('Clockify Raw'!M775))</f>
        <v/>
      </c>
      <c r="D775" t="str">
        <f>IF('Clockify Raw'!A775="","",IF(LOWER('Clockify Raw'!A775)="break","Break","Work"))</f>
        <v/>
      </c>
      <c r="E775" t="str">
        <f>IF('Clockify Raw'!A775="","",IF(LOWER('Clockify Raw'!A775)="break","Break",IF('Clockify Raw'!C775&lt;&gt;"",'Clockify Raw'!C775,IF('Clockify Raw'!D775&lt;&gt;"",'Clockify Raw'!D775,'Clockify Raw'!A775))))</f>
        <v/>
      </c>
      <c r="F775" s="24" t="str">
        <f>IF('Clockify Raw'!O775="","",'Clockify Raw'!O775/24)</f>
        <v/>
      </c>
      <c r="G775" t="str">
        <f>IF(A775="","",COUNTIFS($A$2:$A$1000,A775,$B$2:$B$1000,"&lt;"&amp;B775)+COUNTIFS($A$2:A775,A775,$B$2:B775,B775))</f>
        <v/>
      </c>
      <c r="H775" t="str">
        <f t="shared" si="12"/>
        <v/>
      </c>
    </row>
    <row r="776" spans="1:8">
      <c r="A776" s="25" t="str">
        <f>IF('Clockify Raw'!J776="","",'Clockify Raw'!J776)</f>
        <v/>
      </c>
      <c r="B776" s="23" t="str">
        <f>IF('Clockify Raw'!K776="","",VALUE('Clockify Raw'!K776))</f>
        <v/>
      </c>
      <c r="C776" s="23" t="str">
        <f>IF('Clockify Raw'!M776="","",VALUE('Clockify Raw'!M776))</f>
        <v/>
      </c>
      <c r="D776" t="str">
        <f>IF('Clockify Raw'!A776="","",IF(LOWER('Clockify Raw'!A776)="break","Break","Work"))</f>
        <v/>
      </c>
      <c r="E776" t="str">
        <f>IF('Clockify Raw'!A776="","",IF(LOWER('Clockify Raw'!A776)="break","Break",IF('Clockify Raw'!C776&lt;&gt;"",'Clockify Raw'!C776,IF('Clockify Raw'!D776&lt;&gt;"",'Clockify Raw'!D776,'Clockify Raw'!A776))))</f>
        <v/>
      </c>
      <c r="F776" s="24" t="str">
        <f>IF('Clockify Raw'!O776="","",'Clockify Raw'!O776/24)</f>
        <v/>
      </c>
      <c r="G776" t="str">
        <f>IF(A776="","",COUNTIFS($A$2:$A$1000,A776,$B$2:$B$1000,"&lt;"&amp;B776)+COUNTIFS($A$2:A776,A776,$B$2:B776,B776))</f>
        <v/>
      </c>
      <c r="H776" t="str">
        <f t="shared" si="12"/>
        <v/>
      </c>
    </row>
    <row r="777" spans="1:8">
      <c r="A777" s="25" t="str">
        <f>IF('Clockify Raw'!J777="","",'Clockify Raw'!J777)</f>
        <v/>
      </c>
      <c r="B777" s="23" t="str">
        <f>IF('Clockify Raw'!K777="","",VALUE('Clockify Raw'!K777))</f>
        <v/>
      </c>
      <c r="C777" s="23" t="str">
        <f>IF('Clockify Raw'!M777="","",VALUE('Clockify Raw'!M777))</f>
        <v/>
      </c>
      <c r="D777" t="str">
        <f>IF('Clockify Raw'!A777="","",IF(LOWER('Clockify Raw'!A777)="break","Break","Work"))</f>
        <v/>
      </c>
      <c r="E777" t="str">
        <f>IF('Clockify Raw'!A777="","",IF(LOWER('Clockify Raw'!A777)="break","Break",IF('Clockify Raw'!C777&lt;&gt;"",'Clockify Raw'!C777,IF('Clockify Raw'!D777&lt;&gt;"",'Clockify Raw'!D777,'Clockify Raw'!A777))))</f>
        <v/>
      </c>
      <c r="F777" s="24" t="str">
        <f>IF('Clockify Raw'!O777="","",'Clockify Raw'!O777/24)</f>
        <v/>
      </c>
      <c r="G777" t="str">
        <f>IF(A777="","",COUNTIFS($A$2:$A$1000,A777,$B$2:$B$1000,"&lt;"&amp;B777)+COUNTIFS($A$2:A777,A777,$B$2:B777,B777))</f>
        <v/>
      </c>
      <c r="H777" t="str">
        <f t="shared" si="12"/>
        <v/>
      </c>
    </row>
    <row r="778" spans="1:8">
      <c r="A778" s="25" t="str">
        <f>IF('Clockify Raw'!J778="","",'Clockify Raw'!J778)</f>
        <v/>
      </c>
      <c r="B778" s="23" t="str">
        <f>IF('Clockify Raw'!K778="","",VALUE('Clockify Raw'!K778))</f>
        <v/>
      </c>
      <c r="C778" s="23" t="str">
        <f>IF('Clockify Raw'!M778="","",VALUE('Clockify Raw'!M778))</f>
        <v/>
      </c>
      <c r="D778" t="str">
        <f>IF('Clockify Raw'!A778="","",IF(LOWER('Clockify Raw'!A778)="break","Break","Work"))</f>
        <v/>
      </c>
      <c r="E778" t="str">
        <f>IF('Clockify Raw'!A778="","",IF(LOWER('Clockify Raw'!A778)="break","Break",IF('Clockify Raw'!C778&lt;&gt;"",'Clockify Raw'!C778,IF('Clockify Raw'!D778&lt;&gt;"",'Clockify Raw'!D778,'Clockify Raw'!A778))))</f>
        <v/>
      </c>
      <c r="F778" s="24" t="str">
        <f>IF('Clockify Raw'!O778="","",'Clockify Raw'!O778/24)</f>
        <v/>
      </c>
      <c r="G778" t="str">
        <f>IF(A778="","",COUNTIFS($A$2:$A$1000,A778,$B$2:$B$1000,"&lt;"&amp;B778)+COUNTIFS($A$2:A778,A778,$B$2:B778,B778))</f>
        <v/>
      </c>
      <c r="H778" t="str">
        <f t="shared" si="12"/>
        <v/>
      </c>
    </row>
    <row r="779" spans="1:8">
      <c r="A779" s="25" t="str">
        <f>IF('Clockify Raw'!J779="","",'Clockify Raw'!J779)</f>
        <v/>
      </c>
      <c r="B779" s="23" t="str">
        <f>IF('Clockify Raw'!K779="","",VALUE('Clockify Raw'!K779))</f>
        <v/>
      </c>
      <c r="C779" s="23" t="str">
        <f>IF('Clockify Raw'!M779="","",VALUE('Clockify Raw'!M779))</f>
        <v/>
      </c>
      <c r="D779" t="str">
        <f>IF('Clockify Raw'!A779="","",IF(LOWER('Clockify Raw'!A779)="break","Break","Work"))</f>
        <v/>
      </c>
      <c r="E779" t="str">
        <f>IF('Clockify Raw'!A779="","",IF(LOWER('Clockify Raw'!A779)="break","Break",IF('Clockify Raw'!C779&lt;&gt;"",'Clockify Raw'!C779,IF('Clockify Raw'!D779&lt;&gt;"",'Clockify Raw'!D779,'Clockify Raw'!A779))))</f>
        <v/>
      </c>
      <c r="F779" s="24" t="str">
        <f>IF('Clockify Raw'!O779="","",'Clockify Raw'!O779/24)</f>
        <v/>
      </c>
      <c r="G779" t="str">
        <f>IF(A779="","",COUNTIFS($A$2:$A$1000,A779,$B$2:$B$1000,"&lt;"&amp;B779)+COUNTIFS($A$2:A779,A779,$B$2:B779,B779))</f>
        <v/>
      </c>
      <c r="H779" t="str">
        <f t="shared" si="12"/>
        <v/>
      </c>
    </row>
    <row r="780" spans="1:8">
      <c r="A780" s="25" t="str">
        <f>IF('Clockify Raw'!J780="","",'Clockify Raw'!J780)</f>
        <v/>
      </c>
      <c r="B780" s="23" t="str">
        <f>IF('Clockify Raw'!K780="","",VALUE('Clockify Raw'!K780))</f>
        <v/>
      </c>
      <c r="C780" s="23" t="str">
        <f>IF('Clockify Raw'!M780="","",VALUE('Clockify Raw'!M780))</f>
        <v/>
      </c>
      <c r="D780" t="str">
        <f>IF('Clockify Raw'!A780="","",IF(LOWER('Clockify Raw'!A780)="break","Break","Work"))</f>
        <v/>
      </c>
      <c r="E780" t="str">
        <f>IF('Clockify Raw'!A780="","",IF(LOWER('Clockify Raw'!A780)="break","Break",IF('Clockify Raw'!C780&lt;&gt;"",'Clockify Raw'!C780,IF('Clockify Raw'!D780&lt;&gt;"",'Clockify Raw'!D780,'Clockify Raw'!A780))))</f>
        <v/>
      </c>
      <c r="F780" s="24" t="str">
        <f>IF('Clockify Raw'!O780="","",'Clockify Raw'!O780/24)</f>
        <v/>
      </c>
      <c r="G780" t="str">
        <f>IF(A780="","",COUNTIFS($A$2:$A$1000,A780,$B$2:$B$1000,"&lt;"&amp;B780)+COUNTIFS($A$2:A780,A780,$B$2:B780,B780))</f>
        <v/>
      </c>
      <c r="H780" t="str">
        <f t="shared" si="12"/>
        <v/>
      </c>
    </row>
    <row r="781" spans="1:8">
      <c r="A781" s="25" t="str">
        <f>IF('Clockify Raw'!J781="","",'Clockify Raw'!J781)</f>
        <v/>
      </c>
      <c r="B781" s="23" t="str">
        <f>IF('Clockify Raw'!K781="","",VALUE('Clockify Raw'!K781))</f>
        <v/>
      </c>
      <c r="C781" s="23" t="str">
        <f>IF('Clockify Raw'!M781="","",VALUE('Clockify Raw'!M781))</f>
        <v/>
      </c>
      <c r="D781" t="str">
        <f>IF('Clockify Raw'!A781="","",IF(LOWER('Clockify Raw'!A781)="break","Break","Work"))</f>
        <v/>
      </c>
      <c r="E781" t="str">
        <f>IF('Clockify Raw'!A781="","",IF(LOWER('Clockify Raw'!A781)="break","Break",IF('Clockify Raw'!C781&lt;&gt;"",'Clockify Raw'!C781,IF('Clockify Raw'!D781&lt;&gt;"",'Clockify Raw'!D781,'Clockify Raw'!A781))))</f>
        <v/>
      </c>
      <c r="F781" s="24" t="str">
        <f>IF('Clockify Raw'!O781="","",'Clockify Raw'!O781/24)</f>
        <v/>
      </c>
      <c r="G781" t="str">
        <f>IF(A781="","",COUNTIFS($A$2:$A$1000,A781,$B$2:$B$1000,"&lt;"&amp;B781)+COUNTIFS($A$2:A781,A781,$B$2:B781,B781))</f>
        <v/>
      </c>
      <c r="H781" t="str">
        <f t="shared" si="12"/>
        <v/>
      </c>
    </row>
    <row r="782" spans="1:8">
      <c r="A782" s="25" t="str">
        <f>IF('Clockify Raw'!J782="","",'Clockify Raw'!J782)</f>
        <v/>
      </c>
      <c r="B782" s="23" t="str">
        <f>IF('Clockify Raw'!K782="","",VALUE('Clockify Raw'!K782))</f>
        <v/>
      </c>
      <c r="C782" s="23" t="str">
        <f>IF('Clockify Raw'!M782="","",VALUE('Clockify Raw'!M782))</f>
        <v/>
      </c>
      <c r="D782" t="str">
        <f>IF('Clockify Raw'!A782="","",IF(LOWER('Clockify Raw'!A782)="break","Break","Work"))</f>
        <v/>
      </c>
      <c r="E782" t="str">
        <f>IF('Clockify Raw'!A782="","",IF(LOWER('Clockify Raw'!A782)="break","Break",IF('Clockify Raw'!C782&lt;&gt;"",'Clockify Raw'!C782,IF('Clockify Raw'!D782&lt;&gt;"",'Clockify Raw'!D782,'Clockify Raw'!A782))))</f>
        <v/>
      </c>
      <c r="F782" s="24" t="str">
        <f>IF('Clockify Raw'!O782="","",'Clockify Raw'!O782/24)</f>
        <v/>
      </c>
      <c r="G782" t="str">
        <f>IF(A782="","",COUNTIFS($A$2:$A$1000,A782,$B$2:$B$1000,"&lt;"&amp;B782)+COUNTIFS($A$2:A782,A782,$B$2:B782,B782))</f>
        <v/>
      </c>
      <c r="H782" t="str">
        <f t="shared" si="12"/>
        <v/>
      </c>
    </row>
    <row r="783" spans="1:8">
      <c r="A783" s="25" t="str">
        <f>IF('Clockify Raw'!J783="","",'Clockify Raw'!J783)</f>
        <v/>
      </c>
      <c r="B783" s="23" t="str">
        <f>IF('Clockify Raw'!K783="","",VALUE('Clockify Raw'!K783))</f>
        <v/>
      </c>
      <c r="C783" s="23" t="str">
        <f>IF('Clockify Raw'!M783="","",VALUE('Clockify Raw'!M783))</f>
        <v/>
      </c>
      <c r="D783" t="str">
        <f>IF('Clockify Raw'!A783="","",IF(LOWER('Clockify Raw'!A783)="break","Break","Work"))</f>
        <v/>
      </c>
      <c r="E783" t="str">
        <f>IF('Clockify Raw'!A783="","",IF(LOWER('Clockify Raw'!A783)="break","Break",IF('Clockify Raw'!C783&lt;&gt;"",'Clockify Raw'!C783,IF('Clockify Raw'!D783&lt;&gt;"",'Clockify Raw'!D783,'Clockify Raw'!A783))))</f>
        <v/>
      </c>
      <c r="F783" s="24" t="str">
        <f>IF('Clockify Raw'!O783="","",'Clockify Raw'!O783/24)</f>
        <v/>
      </c>
      <c r="G783" t="str">
        <f>IF(A783="","",COUNTIFS($A$2:$A$1000,A783,$B$2:$B$1000,"&lt;"&amp;B783)+COUNTIFS($A$2:A783,A783,$B$2:B783,B783))</f>
        <v/>
      </c>
      <c r="H783" t="str">
        <f t="shared" si="12"/>
        <v/>
      </c>
    </row>
    <row r="784" spans="1:8">
      <c r="A784" s="25" t="str">
        <f>IF('Clockify Raw'!J784="","",'Clockify Raw'!J784)</f>
        <v/>
      </c>
      <c r="B784" s="23" t="str">
        <f>IF('Clockify Raw'!K784="","",VALUE('Clockify Raw'!K784))</f>
        <v/>
      </c>
      <c r="C784" s="23" t="str">
        <f>IF('Clockify Raw'!M784="","",VALUE('Clockify Raw'!M784))</f>
        <v/>
      </c>
      <c r="D784" t="str">
        <f>IF('Clockify Raw'!A784="","",IF(LOWER('Clockify Raw'!A784)="break","Break","Work"))</f>
        <v/>
      </c>
      <c r="E784" t="str">
        <f>IF('Clockify Raw'!A784="","",IF(LOWER('Clockify Raw'!A784)="break","Break",IF('Clockify Raw'!C784&lt;&gt;"",'Clockify Raw'!C784,IF('Clockify Raw'!D784&lt;&gt;"",'Clockify Raw'!D784,'Clockify Raw'!A784))))</f>
        <v/>
      </c>
      <c r="F784" s="24" t="str">
        <f>IF('Clockify Raw'!O784="","",'Clockify Raw'!O784/24)</f>
        <v/>
      </c>
      <c r="G784" t="str">
        <f>IF(A784="","",COUNTIFS($A$2:$A$1000,A784,$B$2:$B$1000,"&lt;"&amp;B784)+COUNTIFS($A$2:A784,A784,$B$2:B784,B784))</f>
        <v/>
      </c>
      <c r="H784" t="str">
        <f t="shared" si="12"/>
        <v/>
      </c>
    </row>
    <row r="785" spans="1:8">
      <c r="A785" s="25" t="str">
        <f>IF('Clockify Raw'!J785="","",'Clockify Raw'!J785)</f>
        <v/>
      </c>
      <c r="B785" s="23" t="str">
        <f>IF('Clockify Raw'!K785="","",VALUE('Clockify Raw'!K785))</f>
        <v/>
      </c>
      <c r="C785" s="23" t="str">
        <f>IF('Clockify Raw'!M785="","",VALUE('Clockify Raw'!M785))</f>
        <v/>
      </c>
      <c r="D785" t="str">
        <f>IF('Clockify Raw'!A785="","",IF(LOWER('Clockify Raw'!A785)="break","Break","Work"))</f>
        <v/>
      </c>
      <c r="E785" t="str">
        <f>IF('Clockify Raw'!A785="","",IF(LOWER('Clockify Raw'!A785)="break","Break",IF('Clockify Raw'!C785&lt;&gt;"",'Clockify Raw'!C785,IF('Clockify Raw'!D785&lt;&gt;"",'Clockify Raw'!D785,'Clockify Raw'!A785))))</f>
        <v/>
      </c>
      <c r="F785" s="24" t="str">
        <f>IF('Clockify Raw'!O785="","",'Clockify Raw'!O785/24)</f>
        <v/>
      </c>
      <c r="G785" t="str">
        <f>IF(A785="","",COUNTIFS($A$2:$A$1000,A785,$B$2:$B$1000,"&lt;"&amp;B785)+COUNTIFS($A$2:A785,A785,$B$2:B785,B785))</f>
        <v/>
      </c>
      <c r="H785" t="str">
        <f t="shared" si="12"/>
        <v/>
      </c>
    </row>
    <row r="786" spans="1:8">
      <c r="A786" s="25" t="str">
        <f>IF('Clockify Raw'!J786="","",'Clockify Raw'!J786)</f>
        <v/>
      </c>
      <c r="B786" s="23" t="str">
        <f>IF('Clockify Raw'!K786="","",VALUE('Clockify Raw'!K786))</f>
        <v/>
      </c>
      <c r="C786" s="23" t="str">
        <f>IF('Clockify Raw'!M786="","",VALUE('Clockify Raw'!M786))</f>
        <v/>
      </c>
      <c r="D786" t="str">
        <f>IF('Clockify Raw'!A786="","",IF(LOWER('Clockify Raw'!A786)="break","Break","Work"))</f>
        <v/>
      </c>
      <c r="E786" t="str">
        <f>IF('Clockify Raw'!A786="","",IF(LOWER('Clockify Raw'!A786)="break","Break",IF('Clockify Raw'!C786&lt;&gt;"",'Clockify Raw'!C786,IF('Clockify Raw'!D786&lt;&gt;"",'Clockify Raw'!D786,'Clockify Raw'!A786))))</f>
        <v/>
      </c>
      <c r="F786" s="24" t="str">
        <f>IF('Clockify Raw'!O786="","",'Clockify Raw'!O786/24)</f>
        <v/>
      </c>
      <c r="G786" t="str">
        <f>IF(A786="","",COUNTIFS($A$2:$A$1000,A786,$B$2:$B$1000,"&lt;"&amp;B786)+COUNTIFS($A$2:A786,A786,$B$2:B786,B786))</f>
        <v/>
      </c>
      <c r="H786" t="str">
        <f t="shared" si="12"/>
        <v/>
      </c>
    </row>
    <row r="787" spans="1:8">
      <c r="A787" s="25" t="str">
        <f>IF('Clockify Raw'!J787="","",'Clockify Raw'!J787)</f>
        <v/>
      </c>
      <c r="B787" s="23" t="str">
        <f>IF('Clockify Raw'!K787="","",VALUE('Clockify Raw'!K787))</f>
        <v/>
      </c>
      <c r="C787" s="23" t="str">
        <f>IF('Clockify Raw'!M787="","",VALUE('Clockify Raw'!M787))</f>
        <v/>
      </c>
      <c r="D787" t="str">
        <f>IF('Clockify Raw'!A787="","",IF(LOWER('Clockify Raw'!A787)="break","Break","Work"))</f>
        <v/>
      </c>
      <c r="E787" t="str">
        <f>IF('Clockify Raw'!A787="","",IF(LOWER('Clockify Raw'!A787)="break","Break",IF('Clockify Raw'!C787&lt;&gt;"",'Clockify Raw'!C787,IF('Clockify Raw'!D787&lt;&gt;"",'Clockify Raw'!D787,'Clockify Raw'!A787))))</f>
        <v/>
      </c>
      <c r="F787" s="24" t="str">
        <f>IF('Clockify Raw'!O787="","",'Clockify Raw'!O787/24)</f>
        <v/>
      </c>
      <c r="G787" t="str">
        <f>IF(A787="","",COUNTIFS($A$2:$A$1000,A787,$B$2:$B$1000,"&lt;"&amp;B787)+COUNTIFS($A$2:A787,A787,$B$2:B787,B787))</f>
        <v/>
      </c>
      <c r="H787" t="str">
        <f t="shared" si="12"/>
        <v/>
      </c>
    </row>
    <row r="788" spans="1:8">
      <c r="A788" s="25" t="str">
        <f>IF('Clockify Raw'!J788="","",'Clockify Raw'!J788)</f>
        <v/>
      </c>
      <c r="B788" s="23" t="str">
        <f>IF('Clockify Raw'!K788="","",VALUE('Clockify Raw'!K788))</f>
        <v/>
      </c>
      <c r="C788" s="23" t="str">
        <f>IF('Clockify Raw'!M788="","",VALUE('Clockify Raw'!M788))</f>
        <v/>
      </c>
      <c r="D788" t="str">
        <f>IF('Clockify Raw'!A788="","",IF(LOWER('Clockify Raw'!A788)="break","Break","Work"))</f>
        <v/>
      </c>
      <c r="E788" t="str">
        <f>IF('Clockify Raw'!A788="","",IF(LOWER('Clockify Raw'!A788)="break","Break",IF('Clockify Raw'!C788&lt;&gt;"",'Clockify Raw'!C788,IF('Clockify Raw'!D788&lt;&gt;"",'Clockify Raw'!D788,'Clockify Raw'!A788))))</f>
        <v/>
      </c>
      <c r="F788" s="24" t="str">
        <f>IF('Clockify Raw'!O788="","",'Clockify Raw'!O788/24)</f>
        <v/>
      </c>
      <c r="G788" t="str">
        <f>IF(A788="","",COUNTIFS($A$2:$A$1000,A788,$B$2:$B$1000,"&lt;"&amp;B788)+COUNTIFS($A$2:A788,A788,$B$2:B788,B788))</f>
        <v/>
      </c>
      <c r="H788" t="str">
        <f t="shared" si="12"/>
        <v/>
      </c>
    </row>
    <row r="789" spans="1:8">
      <c r="A789" s="25" t="str">
        <f>IF('Clockify Raw'!J789="","",'Clockify Raw'!J789)</f>
        <v/>
      </c>
      <c r="B789" s="23" t="str">
        <f>IF('Clockify Raw'!K789="","",VALUE('Clockify Raw'!K789))</f>
        <v/>
      </c>
      <c r="C789" s="23" t="str">
        <f>IF('Clockify Raw'!M789="","",VALUE('Clockify Raw'!M789))</f>
        <v/>
      </c>
      <c r="D789" t="str">
        <f>IF('Clockify Raw'!A789="","",IF(LOWER('Clockify Raw'!A789)="break","Break","Work"))</f>
        <v/>
      </c>
      <c r="E789" t="str">
        <f>IF('Clockify Raw'!A789="","",IF(LOWER('Clockify Raw'!A789)="break","Break",IF('Clockify Raw'!C789&lt;&gt;"",'Clockify Raw'!C789,IF('Clockify Raw'!D789&lt;&gt;"",'Clockify Raw'!D789,'Clockify Raw'!A789))))</f>
        <v/>
      </c>
      <c r="F789" s="24" t="str">
        <f>IF('Clockify Raw'!O789="","",'Clockify Raw'!O789/24)</f>
        <v/>
      </c>
      <c r="G789" t="str">
        <f>IF(A789="","",COUNTIFS($A$2:$A$1000,A789,$B$2:$B$1000,"&lt;"&amp;B789)+COUNTIFS($A$2:A789,A789,$B$2:B789,B789))</f>
        <v/>
      </c>
      <c r="H789" t="str">
        <f t="shared" si="12"/>
        <v/>
      </c>
    </row>
    <row r="790" spans="1:8">
      <c r="A790" s="25" t="str">
        <f>IF('Clockify Raw'!J790="","",'Clockify Raw'!J790)</f>
        <v/>
      </c>
      <c r="B790" s="23" t="str">
        <f>IF('Clockify Raw'!K790="","",VALUE('Clockify Raw'!K790))</f>
        <v/>
      </c>
      <c r="C790" s="23" t="str">
        <f>IF('Clockify Raw'!M790="","",VALUE('Clockify Raw'!M790))</f>
        <v/>
      </c>
      <c r="D790" t="str">
        <f>IF('Clockify Raw'!A790="","",IF(LOWER('Clockify Raw'!A790)="break","Break","Work"))</f>
        <v/>
      </c>
      <c r="E790" t="str">
        <f>IF('Clockify Raw'!A790="","",IF(LOWER('Clockify Raw'!A790)="break","Break",IF('Clockify Raw'!C790&lt;&gt;"",'Clockify Raw'!C790,IF('Clockify Raw'!D790&lt;&gt;"",'Clockify Raw'!D790,'Clockify Raw'!A790))))</f>
        <v/>
      </c>
      <c r="F790" s="24" t="str">
        <f>IF('Clockify Raw'!O790="","",'Clockify Raw'!O790/24)</f>
        <v/>
      </c>
      <c r="G790" t="str">
        <f>IF(A790="","",COUNTIFS($A$2:$A$1000,A790,$B$2:$B$1000,"&lt;"&amp;B790)+COUNTIFS($A$2:A790,A790,$B$2:B790,B790))</f>
        <v/>
      </c>
      <c r="H790" t="str">
        <f t="shared" si="12"/>
        <v/>
      </c>
    </row>
    <row r="791" spans="1:8">
      <c r="A791" s="25" t="str">
        <f>IF('Clockify Raw'!J791="","",'Clockify Raw'!J791)</f>
        <v/>
      </c>
      <c r="B791" s="23" t="str">
        <f>IF('Clockify Raw'!K791="","",VALUE('Clockify Raw'!K791))</f>
        <v/>
      </c>
      <c r="C791" s="23" t="str">
        <f>IF('Clockify Raw'!M791="","",VALUE('Clockify Raw'!M791))</f>
        <v/>
      </c>
      <c r="D791" t="str">
        <f>IF('Clockify Raw'!A791="","",IF(LOWER('Clockify Raw'!A791)="break","Break","Work"))</f>
        <v/>
      </c>
      <c r="E791" t="str">
        <f>IF('Clockify Raw'!A791="","",IF(LOWER('Clockify Raw'!A791)="break","Break",IF('Clockify Raw'!C791&lt;&gt;"",'Clockify Raw'!C791,IF('Clockify Raw'!D791&lt;&gt;"",'Clockify Raw'!D791,'Clockify Raw'!A791))))</f>
        <v/>
      </c>
      <c r="F791" s="24" t="str">
        <f>IF('Clockify Raw'!O791="","",'Clockify Raw'!O791/24)</f>
        <v/>
      </c>
      <c r="G791" t="str">
        <f>IF(A791="","",COUNTIFS($A$2:$A$1000,A791,$B$2:$B$1000,"&lt;"&amp;B791)+COUNTIFS($A$2:A791,A791,$B$2:B791,B791))</f>
        <v/>
      </c>
      <c r="H791" t="str">
        <f t="shared" si="12"/>
        <v/>
      </c>
    </row>
    <row r="792" spans="1:8">
      <c r="A792" s="25" t="str">
        <f>IF('Clockify Raw'!J792="","",'Clockify Raw'!J792)</f>
        <v/>
      </c>
      <c r="B792" s="23" t="str">
        <f>IF('Clockify Raw'!K792="","",VALUE('Clockify Raw'!K792))</f>
        <v/>
      </c>
      <c r="C792" s="23" t="str">
        <f>IF('Clockify Raw'!M792="","",VALUE('Clockify Raw'!M792))</f>
        <v/>
      </c>
      <c r="D792" t="str">
        <f>IF('Clockify Raw'!A792="","",IF(LOWER('Clockify Raw'!A792)="break","Break","Work"))</f>
        <v/>
      </c>
      <c r="E792" t="str">
        <f>IF('Clockify Raw'!A792="","",IF(LOWER('Clockify Raw'!A792)="break","Break",IF('Clockify Raw'!C792&lt;&gt;"",'Clockify Raw'!C792,IF('Clockify Raw'!D792&lt;&gt;"",'Clockify Raw'!D792,'Clockify Raw'!A792))))</f>
        <v/>
      </c>
      <c r="F792" s="24" t="str">
        <f>IF('Clockify Raw'!O792="","",'Clockify Raw'!O792/24)</f>
        <v/>
      </c>
      <c r="G792" t="str">
        <f>IF(A792="","",COUNTIFS($A$2:$A$1000,A792,$B$2:$B$1000,"&lt;"&amp;B792)+COUNTIFS($A$2:A792,A792,$B$2:B792,B792))</f>
        <v/>
      </c>
      <c r="H792" t="str">
        <f t="shared" si="12"/>
        <v/>
      </c>
    </row>
    <row r="793" spans="1:8">
      <c r="A793" s="25" t="str">
        <f>IF('Clockify Raw'!J793="","",'Clockify Raw'!J793)</f>
        <v/>
      </c>
      <c r="B793" s="23" t="str">
        <f>IF('Clockify Raw'!K793="","",VALUE('Clockify Raw'!K793))</f>
        <v/>
      </c>
      <c r="C793" s="23" t="str">
        <f>IF('Clockify Raw'!M793="","",VALUE('Clockify Raw'!M793))</f>
        <v/>
      </c>
      <c r="D793" t="str">
        <f>IF('Clockify Raw'!A793="","",IF(LOWER('Clockify Raw'!A793)="break","Break","Work"))</f>
        <v/>
      </c>
      <c r="E793" t="str">
        <f>IF('Clockify Raw'!A793="","",IF(LOWER('Clockify Raw'!A793)="break","Break",IF('Clockify Raw'!C793&lt;&gt;"",'Clockify Raw'!C793,IF('Clockify Raw'!D793&lt;&gt;"",'Clockify Raw'!D793,'Clockify Raw'!A793))))</f>
        <v/>
      </c>
      <c r="F793" s="24" t="str">
        <f>IF('Clockify Raw'!O793="","",'Clockify Raw'!O793/24)</f>
        <v/>
      </c>
      <c r="G793" t="str">
        <f>IF(A793="","",COUNTIFS($A$2:$A$1000,A793,$B$2:$B$1000,"&lt;"&amp;B793)+COUNTIFS($A$2:A793,A793,$B$2:B793,B793))</f>
        <v/>
      </c>
      <c r="H793" t="str">
        <f t="shared" si="12"/>
        <v/>
      </c>
    </row>
    <row r="794" spans="1:8">
      <c r="A794" s="25" t="str">
        <f>IF('Clockify Raw'!J794="","",'Clockify Raw'!J794)</f>
        <v/>
      </c>
      <c r="B794" s="23" t="str">
        <f>IF('Clockify Raw'!K794="","",VALUE('Clockify Raw'!K794))</f>
        <v/>
      </c>
      <c r="C794" s="23" t="str">
        <f>IF('Clockify Raw'!M794="","",VALUE('Clockify Raw'!M794))</f>
        <v/>
      </c>
      <c r="D794" t="str">
        <f>IF('Clockify Raw'!A794="","",IF(LOWER('Clockify Raw'!A794)="break","Break","Work"))</f>
        <v/>
      </c>
      <c r="E794" t="str">
        <f>IF('Clockify Raw'!A794="","",IF(LOWER('Clockify Raw'!A794)="break","Break",IF('Clockify Raw'!C794&lt;&gt;"",'Clockify Raw'!C794,IF('Clockify Raw'!D794&lt;&gt;"",'Clockify Raw'!D794,'Clockify Raw'!A794))))</f>
        <v/>
      </c>
      <c r="F794" s="24" t="str">
        <f>IF('Clockify Raw'!O794="","",'Clockify Raw'!O794/24)</f>
        <v/>
      </c>
      <c r="G794" t="str">
        <f>IF(A794="","",COUNTIFS($A$2:$A$1000,A794,$B$2:$B$1000,"&lt;"&amp;B794)+COUNTIFS($A$2:A794,A794,$B$2:B794,B794))</f>
        <v/>
      </c>
      <c r="H794" t="str">
        <f t="shared" si="12"/>
        <v/>
      </c>
    </row>
    <row r="795" spans="1:8">
      <c r="A795" s="25" t="str">
        <f>IF('Clockify Raw'!J795="","",'Clockify Raw'!J795)</f>
        <v/>
      </c>
      <c r="B795" s="23" t="str">
        <f>IF('Clockify Raw'!K795="","",VALUE('Clockify Raw'!K795))</f>
        <v/>
      </c>
      <c r="C795" s="23" t="str">
        <f>IF('Clockify Raw'!M795="","",VALUE('Clockify Raw'!M795))</f>
        <v/>
      </c>
      <c r="D795" t="str">
        <f>IF('Clockify Raw'!A795="","",IF(LOWER('Clockify Raw'!A795)="break","Break","Work"))</f>
        <v/>
      </c>
      <c r="E795" t="str">
        <f>IF('Clockify Raw'!A795="","",IF(LOWER('Clockify Raw'!A795)="break","Break",IF('Clockify Raw'!C795&lt;&gt;"",'Clockify Raw'!C795,IF('Clockify Raw'!D795&lt;&gt;"",'Clockify Raw'!D795,'Clockify Raw'!A795))))</f>
        <v/>
      </c>
      <c r="F795" s="24" t="str">
        <f>IF('Clockify Raw'!O795="","",'Clockify Raw'!O795/24)</f>
        <v/>
      </c>
      <c r="G795" t="str">
        <f>IF(A795="","",COUNTIFS($A$2:$A$1000,A795,$B$2:$B$1000,"&lt;"&amp;B795)+COUNTIFS($A$2:A795,A795,$B$2:B795,B795))</f>
        <v/>
      </c>
      <c r="H795" t="str">
        <f t="shared" si="12"/>
        <v/>
      </c>
    </row>
    <row r="796" spans="1:8">
      <c r="A796" s="25" t="str">
        <f>IF('Clockify Raw'!J796="","",'Clockify Raw'!J796)</f>
        <v/>
      </c>
      <c r="B796" s="23" t="str">
        <f>IF('Clockify Raw'!K796="","",VALUE('Clockify Raw'!K796))</f>
        <v/>
      </c>
      <c r="C796" s="23" t="str">
        <f>IF('Clockify Raw'!M796="","",VALUE('Clockify Raw'!M796))</f>
        <v/>
      </c>
      <c r="D796" t="str">
        <f>IF('Clockify Raw'!A796="","",IF(LOWER('Clockify Raw'!A796)="break","Break","Work"))</f>
        <v/>
      </c>
      <c r="E796" t="str">
        <f>IF('Clockify Raw'!A796="","",IF(LOWER('Clockify Raw'!A796)="break","Break",IF('Clockify Raw'!C796&lt;&gt;"",'Clockify Raw'!C796,IF('Clockify Raw'!D796&lt;&gt;"",'Clockify Raw'!D796,'Clockify Raw'!A796))))</f>
        <v/>
      </c>
      <c r="F796" s="24" t="str">
        <f>IF('Clockify Raw'!O796="","",'Clockify Raw'!O796/24)</f>
        <v/>
      </c>
      <c r="G796" t="str">
        <f>IF(A796="","",COUNTIFS($A$2:$A$1000,A796,$B$2:$B$1000,"&lt;"&amp;B796)+COUNTIFS($A$2:A796,A796,$B$2:B796,B796))</f>
        <v/>
      </c>
      <c r="H796" t="str">
        <f t="shared" si="12"/>
        <v/>
      </c>
    </row>
    <row r="797" spans="1:8">
      <c r="A797" s="25" t="str">
        <f>IF('Clockify Raw'!J797="","",'Clockify Raw'!J797)</f>
        <v/>
      </c>
      <c r="B797" s="23" t="str">
        <f>IF('Clockify Raw'!K797="","",VALUE('Clockify Raw'!K797))</f>
        <v/>
      </c>
      <c r="C797" s="23" t="str">
        <f>IF('Clockify Raw'!M797="","",VALUE('Clockify Raw'!M797))</f>
        <v/>
      </c>
      <c r="D797" t="str">
        <f>IF('Clockify Raw'!A797="","",IF(LOWER('Clockify Raw'!A797)="break","Break","Work"))</f>
        <v/>
      </c>
      <c r="E797" t="str">
        <f>IF('Clockify Raw'!A797="","",IF(LOWER('Clockify Raw'!A797)="break","Break",IF('Clockify Raw'!C797&lt;&gt;"",'Clockify Raw'!C797,IF('Clockify Raw'!D797&lt;&gt;"",'Clockify Raw'!D797,'Clockify Raw'!A797))))</f>
        <v/>
      </c>
      <c r="F797" s="24" t="str">
        <f>IF('Clockify Raw'!O797="","",'Clockify Raw'!O797/24)</f>
        <v/>
      </c>
      <c r="G797" t="str">
        <f>IF(A797="","",COUNTIFS($A$2:$A$1000,A797,$B$2:$B$1000,"&lt;"&amp;B797)+COUNTIFS($A$2:A797,A797,$B$2:B797,B797))</f>
        <v/>
      </c>
      <c r="H797" t="str">
        <f t="shared" si="12"/>
        <v/>
      </c>
    </row>
    <row r="798" spans="1:8">
      <c r="A798" s="25" t="str">
        <f>IF('Clockify Raw'!J798="","",'Clockify Raw'!J798)</f>
        <v/>
      </c>
      <c r="B798" s="23" t="str">
        <f>IF('Clockify Raw'!K798="","",VALUE('Clockify Raw'!K798))</f>
        <v/>
      </c>
      <c r="C798" s="23" t="str">
        <f>IF('Clockify Raw'!M798="","",VALUE('Clockify Raw'!M798))</f>
        <v/>
      </c>
      <c r="D798" t="str">
        <f>IF('Clockify Raw'!A798="","",IF(LOWER('Clockify Raw'!A798)="break","Break","Work"))</f>
        <v/>
      </c>
      <c r="E798" t="str">
        <f>IF('Clockify Raw'!A798="","",IF(LOWER('Clockify Raw'!A798)="break","Break",IF('Clockify Raw'!C798&lt;&gt;"",'Clockify Raw'!C798,IF('Clockify Raw'!D798&lt;&gt;"",'Clockify Raw'!D798,'Clockify Raw'!A798))))</f>
        <v/>
      </c>
      <c r="F798" s="24" t="str">
        <f>IF('Clockify Raw'!O798="","",'Clockify Raw'!O798/24)</f>
        <v/>
      </c>
      <c r="G798" t="str">
        <f>IF(A798="","",COUNTIFS($A$2:$A$1000,A798,$B$2:$B$1000,"&lt;"&amp;B798)+COUNTIFS($A$2:A798,A798,$B$2:B798,B798))</f>
        <v/>
      </c>
      <c r="H798" t="str">
        <f t="shared" si="12"/>
        <v/>
      </c>
    </row>
    <row r="799" spans="1:8">
      <c r="A799" s="25" t="str">
        <f>IF('Clockify Raw'!J799="","",'Clockify Raw'!J799)</f>
        <v/>
      </c>
      <c r="B799" s="23" t="str">
        <f>IF('Clockify Raw'!K799="","",VALUE('Clockify Raw'!K799))</f>
        <v/>
      </c>
      <c r="C799" s="23" t="str">
        <f>IF('Clockify Raw'!M799="","",VALUE('Clockify Raw'!M799))</f>
        <v/>
      </c>
      <c r="D799" t="str">
        <f>IF('Clockify Raw'!A799="","",IF(LOWER('Clockify Raw'!A799)="break","Break","Work"))</f>
        <v/>
      </c>
      <c r="E799" t="str">
        <f>IF('Clockify Raw'!A799="","",IF(LOWER('Clockify Raw'!A799)="break","Break",IF('Clockify Raw'!C799&lt;&gt;"",'Clockify Raw'!C799,IF('Clockify Raw'!D799&lt;&gt;"",'Clockify Raw'!D799,'Clockify Raw'!A799))))</f>
        <v/>
      </c>
      <c r="F799" s="24" t="str">
        <f>IF('Clockify Raw'!O799="","",'Clockify Raw'!O799/24)</f>
        <v/>
      </c>
      <c r="G799" t="str">
        <f>IF(A799="","",COUNTIFS($A$2:$A$1000,A799,$B$2:$B$1000,"&lt;"&amp;B799)+COUNTIFS($A$2:A799,A799,$B$2:B799,B799))</f>
        <v/>
      </c>
      <c r="H799" t="str">
        <f t="shared" si="12"/>
        <v/>
      </c>
    </row>
    <row r="800" spans="1:8">
      <c r="A800" s="25" t="str">
        <f>IF('Clockify Raw'!J800="","",'Clockify Raw'!J800)</f>
        <v/>
      </c>
      <c r="B800" s="23" t="str">
        <f>IF('Clockify Raw'!K800="","",VALUE('Clockify Raw'!K800))</f>
        <v/>
      </c>
      <c r="C800" s="23" t="str">
        <f>IF('Clockify Raw'!M800="","",VALUE('Clockify Raw'!M800))</f>
        <v/>
      </c>
      <c r="D800" t="str">
        <f>IF('Clockify Raw'!A800="","",IF(LOWER('Clockify Raw'!A800)="break","Break","Work"))</f>
        <v/>
      </c>
      <c r="E800" t="str">
        <f>IF('Clockify Raw'!A800="","",IF(LOWER('Clockify Raw'!A800)="break","Break",IF('Clockify Raw'!C800&lt;&gt;"",'Clockify Raw'!C800,IF('Clockify Raw'!D800&lt;&gt;"",'Clockify Raw'!D800,'Clockify Raw'!A800))))</f>
        <v/>
      </c>
      <c r="F800" s="24" t="str">
        <f>IF('Clockify Raw'!O800="","",'Clockify Raw'!O800/24)</f>
        <v/>
      </c>
      <c r="G800" t="str">
        <f>IF(A800="","",COUNTIFS($A$2:$A$1000,A800,$B$2:$B$1000,"&lt;"&amp;B800)+COUNTIFS($A$2:A800,A800,$B$2:B800,B800))</f>
        <v/>
      </c>
      <c r="H800" t="str">
        <f t="shared" si="12"/>
        <v/>
      </c>
    </row>
    <row r="801" spans="1:8">
      <c r="A801" s="25" t="str">
        <f>IF('Clockify Raw'!J801="","",'Clockify Raw'!J801)</f>
        <v/>
      </c>
      <c r="B801" s="23" t="str">
        <f>IF('Clockify Raw'!K801="","",VALUE('Clockify Raw'!K801))</f>
        <v/>
      </c>
      <c r="C801" s="23" t="str">
        <f>IF('Clockify Raw'!M801="","",VALUE('Clockify Raw'!M801))</f>
        <v/>
      </c>
      <c r="D801" t="str">
        <f>IF('Clockify Raw'!A801="","",IF(LOWER('Clockify Raw'!A801)="break","Break","Work"))</f>
        <v/>
      </c>
      <c r="E801" t="str">
        <f>IF('Clockify Raw'!A801="","",IF(LOWER('Clockify Raw'!A801)="break","Break",IF('Clockify Raw'!C801&lt;&gt;"",'Clockify Raw'!C801,IF('Clockify Raw'!D801&lt;&gt;"",'Clockify Raw'!D801,'Clockify Raw'!A801))))</f>
        <v/>
      </c>
      <c r="F801" s="24" t="str">
        <f>IF('Clockify Raw'!O801="","",'Clockify Raw'!O801/24)</f>
        <v/>
      </c>
      <c r="G801" t="str">
        <f>IF(A801="","",COUNTIFS($A$2:$A$1000,A801,$B$2:$B$1000,"&lt;"&amp;B801)+COUNTIFS($A$2:A801,A801,$B$2:B801,B801))</f>
        <v/>
      </c>
      <c r="H801" t="str">
        <f t="shared" si="12"/>
        <v/>
      </c>
    </row>
    <row r="802" spans="1:8">
      <c r="A802" s="25" t="str">
        <f>IF('Clockify Raw'!J802="","",'Clockify Raw'!J802)</f>
        <v/>
      </c>
      <c r="B802" s="23" t="str">
        <f>IF('Clockify Raw'!K802="","",VALUE('Clockify Raw'!K802))</f>
        <v/>
      </c>
      <c r="C802" s="23" t="str">
        <f>IF('Clockify Raw'!M802="","",VALUE('Clockify Raw'!M802))</f>
        <v/>
      </c>
      <c r="D802" t="str">
        <f>IF('Clockify Raw'!A802="","",IF(LOWER('Clockify Raw'!A802)="break","Break","Work"))</f>
        <v/>
      </c>
      <c r="E802" t="str">
        <f>IF('Clockify Raw'!A802="","",IF(LOWER('Clockify Raw'!A802)="break","Break",IF('Clockify Raw'!C802&lt;&gt;"",'Clockify Raw'!C802,IF('Clockify Raw'!D802&lt;&gt;"",'Clockify Raw'!D802,'Clockify Raw'!A802))))</f>
        <v/>
      </c>
      <c r="F802" s="24" t="str">
        <f>IF('Clockify Raw'!O802="","",'Clockify Raw'!O802/24)</f>
        <v/>
      </c>
      <c r="G802" t="str">
        <f>IF(A802="","",COUNTIFS($A$2:$A$1000,A802,$B$2:$B$1000,"&lt;"&amp;B802)+COUNTIFS($A$2:A802,A802,$B$2:B802,B802))</f>
        <v/>
      </c>
      <c r="H802" t="str">
        <f t="shared" si="12"/>
        <v/>
      </c>
    </row>
    <row r="803" spans="1:8">
      <c r="A803" s="25" t="str">
        <f>IF('Clockify Raw'!J803="","",'Clockify Raw'!J803)</f>
        <v/>
      </c>
      <c r="B803" s="23" t="str">
        <f>IF('Clockify Raw'!K803="","",VALUE('Clockify Raw'!K803))</f>
        <v/>
      </c>
      <c r="C803" s="23" t="str">
        <f>IF('Clockify Raw'!M803="","",VALUE('Clockify Raw'!M803))</f>
        <v/>
      </c>
      <c r="D803" t="str">
        <f>IF('Clockify Raw'!A803="","",IF(LOWER('Clockify Raw'!A803)="break","Break","Work"))</f>
        <v/>
      </c>
      <c r="E803" t="str">
        <f>IF('Clockify Raw'!A803="","",IF(LOWER('Clockify Raw'!A803)="break","Break",IF('Clockify Raw'!C803&lt;&gt;"",'Clockify Raw'!C803,IF('Clockify Raw'!D803&lt;&gt;"",'Clockify Raw'!D803,'Clockify Raw'!A803))))</f>
        <v/>
      </c>
      <c r="F803" s="24" t="str">
        <f>IF('Clockify Raw'!O803="","",'Clockify Raw'!O803/24)</f>
        <v/>
      </c>
      <c r="G803" t="str">
        <f>IF(A803="","",COUNTIFS($A$2:$A$1000,A803,$B$2:$B$1000,"&lt;"&amp;B803)+COUNTIFS($A$2:A803,A803,$B$2:B803,B803))</f>
        <v/>
      </c>
      <c r="H803" t="str">
        <f t="shared" si="12"/>
        <v/>
      </c>
    </row>
    <row r="804" spans="1:8">
      <c r="A804" s="25" t="str">
        <f>IF('Clockify Raw'!J804="","",'Clockify Raw'!J804)</f>
        <v/>
      </c>
      <c r="B804" s="23" t="str">
        <f>IF('Clockify Raw'!K804="","",VALUE('Clockify Raw'!K804))</f>
        <v/>
      </c>
      <c r="C804" s="23" t="str">
        <f>IF('Clockify Raw'!M804="","",VALUE('Clockify Raw'!M804))</f>
        <v/>
      </c>
      <c r="D804" t="str">
        <f>IF('Clockify Raw'!A804="","",IF(LOWER('Clockify Raw'!A804)="break","Break","Work"))</f>
        <v/>
      </c>
      <c r="E804" t="str">
        <f>IF('Clockify Raw'!A804="","",IF(LOWER('Clockify Raw'!A804)="break","Break",IF('Clockify Raw'!C804&lt;&gt;"",'Clockify Raw'!C804,IF('Clockify Raw'!D804&lt;&gt;"",'Clockify Raw'!D804,'Clockify Raw'!A804))))</f>
        <v/>
      </c>
      <c r="F804" s="24" t="str">
        <f>IF('Clockify Raw'!O804="","",'Clockify Raw'!O804/24)</f>
        <v/>
      </c>
      <c r="G804" t="str">
        <f>IF(A804="","",COUNTIFS($A$2:$A$1000,A804,$B$2:$B$1000,"&lt;"&amp;B804)+COUNTIFS($A$2:A804,A804,$B$2:B804,B804))</f>
        <v/>
      </c>
      <c r="H804" t="str">
        <f t="shared" si="12"/>
        <v/>
      </c>
    </row>
    <row r="805" spans="1:8">
      <c r="A805" s="25" t="str">
        <f>IF('Clockify Raw'!J805="","",'Clockify Raw'!J805)</f>
        <v/>
      </c>
      <c r="B805" s="23" t="str">
        <f>IF('Clockify Raw'!K805="","",VALUE('Clockify Raw'!K805))</f>
        <v/>
      </c>
      <c r="C805" s="23" t="str">
        <f>IF('Clockify Raw'!M805="","",VALUE('Clockify Raw'!M805))</f>
        <v/>
      </c>
      <c r="D805" t="str">
        <f>IF('Clockify Raw'!A805="","",IF(LOWER('Clockify Raw'!A805)="break","Break","Work"))</f>
        <v/>
      </c>
      <c r="E805" t="str">
        <f>IF('Clockify Raw'!A805="","",IF(LOWER('Clockify Raw'!A805)="break","Break",IF('Clockify Raw'!C805&lt;&gt;"",'Clockify Raw'!C805,IF('Clockify Raw'!D805&lt;&gt;"",'Clockify Raw'!D805,'Clockify Raw'!A805))))</f>
        <v/>
      </c>
      <c r="F805" s="24" t="str">
        <f>IF('Clockify Raw'!O805="","",'Clockify Raw'!O805/24)</f>
        <v/>
      </c>
      <c r="G805" t="str">
        <f>IF(A805="","",COUNTIFS($A$2:$A$1000,A805,$B$2:$B$1000,"&lt;"&amp;B805)+COUNTIFS($A$2:A805,A805,$B$2:B805,B805))</f>
        <v/>
      </c>
      <c r="H805" t="str">
        <f t="shared" si="12"/>
        <v/>
      </c>
    </row>
    <row r="806" spans="1:8">
      <c r="A806" s="25" t="str">
        <f>IF('Clockify Raw'!J806="","",'Clockify Raw'!J806)</f>
        <v/>
      </c>
      <c r="B806" s="23" t="str">
        <f>IF('Clockify Raw'!K806="","",VALUE('Clockify Raw'!K806))</f>
        <v/>
      </c>
      <c r="C806" s="23" t="str">
        <f>IF('Clockify Raw'!M806="","",VALUE('Clockify Raw'!M806))</f>
        <v/>
      </c>
      <c r="D806" t="str">
        <f>IF('Clockify Raw'!A806="","",IF(LOWER('Clockify Raw'!A806)="break","Break","Work"))</f>
        <v/>
      </c>
      <c r="E806" t="str">
        <f>IF('Clockify Raw'!A806="","",IF(LOWER('Clockify Raw'!A806)="break","Break",IF('Clockify Raw'!C806&lt;&gt;"",'Clockify Raw'!C806,IF('Clockify Raw'!D806&lt;&gt;"",'Clockify Raw'!D806,'Clockify Raw'!A806))))</f>
        <v/>
      </c>
      <c r="F806" s="24" t="str">
        <f>IF('Clockify Raw'!O806="","",'Clockify Raw'!O806/24)</f>
        <v/>
      </c>
      <c r="G806" t="str">
        <f>IF(A806="","",COUNTIFS($A$2:$A$1000,A806,$B$2:$B$1000,"&lt;"&amp;B806)+COUNTIFS($A$2:A806,A806,$B$2:B806,B806))</f>
        <v/>
      </c>
      <c r="H806" t="str">
        <f t="shared" si="12"/>
        <v/>
      </c>
    </row>
    <row r="807" spans="1:8">
      <c r="A807" s="25" t="str">
        <f>IF('Clockify Raw'!J807="","",'Clockify Raw'!J807)</f>
        <v/>
      </c>
      <c r="B807" s="23" t="str">
        <f>IF('Clockify Raw'!K807="","",VALUE('Clockify Raw'!K807))</f>
        <v/>
      </c>
      <c r="C807" s="23" t="str">
        <f>IF('Clockify Raw'!M807="","",VALUE('Clockify Raw'!M807))</f>
        <v/>
      </c>
      <c r="D807" t="str">
        <f>IF('Clockify Raw'!A807="","",IF(LOWER('Clockify Raw'!A807)="break","Break","Work"))</f>
        <v/>
      </c>
      <c r="E807" t="str">
        <f>IF('Clockify Raw'!A807="","",IF(LOWER('Clockify Raw'!A807)="break","Break",IF('Clockify Raw'!C807&lt;&gt;"",'Clockify Raw'!C807,IF('Clockify Raw'!D807&lt;&gt;"",'Clockify Raw'!D807,'Clockify Raw'!A807))))</f>
        <v/>
      </c>
      <c r="F807" s="24" t="str">
        <f>IF('Clockify Raw'!O807="","",'Clockify Raw'!O807/24)</f>
        <v/>
      </c>
      <c r="G807" t="str">
        <f>IF(A807="","",COUNTIFS($A$2:$A$1000,A807,$B$2:$B$1000,"&lt;"&amp;B807)+COUNTIFS($A$2:A807,A807,$B$2:B807,B807))</f>
        <v/>
      </c>
      <c r="H807" t="str">
        <f t="shared" si="12"/>
        <v/>
      </c>
    </row>
    <row r="808" spans="1:8">
      <c r="A808" s="25" t="str">
        <f>IF('Clockify Raw'!J808="","",'Clockify Raw'!J808)</f>
        <v/>
      </c>
      <c r="B808" s="23" t="str">
        <f>IF('Clockify Raw'!K808="","",VALUE('Clockify Raw'!K808))</f>
        <v/>
      </c>
      <c r="C808" s="23" t="str">
        <f>IF('Clockify Raw'!M808="","",VALUE('Clockify Raw'!M808))</f>
        <v/>
      </c>
      <c r="D808" t="str">
        <f>IF('Clockify Raw'!A808="","",IF(LOWER('Clockify Raw'!A808)="break","Break","Work"))</f>
        <v/>
      </c>
      <c r="E808" t="str">
        <f>IF('Clockify Raw'!A808="","",IF(LOWER('Clockify Raw'!A808)="break","Break",IF('Clockify Raw'!C808&lt;&gt;"",'Clockify Raw'!C808,IF('Clockify Raw'!D808&lt;&gt;"",'Clockify Raw'!D808,'Clockify Raw'!A808))))</f>
        <v/>
      </c>
      <c r="F808" s="24" t="str">
        <f>IF('Clockify Raw'!O808="","",'Clockify Raw'!O808/24)</f>
        <v/>
      </c>
      <c r="G808" t="str">
        <f>IF(A808="","",COUNTIFS($A$2:$A$1000,A808,$B$2:$B$1000,"&lt;"&amp;B808)+COUNTIFS($A$2:A808,A808,$B$2:B808,B808))</f>
        <v/>
      </c>
      <c r="H808" t="str">
        <f t="shared" si="12"/>
        <v/>
      </c>
    </row>
    <row r="809" spans="1:8">
      <c r="A809" s="25" t="str">
        <f>IF('Clockify Raw'!J809="","",'Clockify Raw'!J809)</f>
        <v/>
      </c>
      <c r="B809" s="23" t="str">
        <f>IF('Clockify Raw'!K809="","",VALUE('Clockify Raw'!K809))</f>
        <v/>
      </c>
      <c r="C809" s="23" t="str">
        <f>IF('Clockify Raw'!M809="","",VALUE('Clockify Raw'!M809))</f>
        <v/>
      </c>
      <c r="D809" t="str">
        <f>IF('Clockify Raw'!A809="","",IF(LOWER('Clockify Raw'!A809)="break","Break","Work"))</f>
        <v/>
      </c>
      <c r="E809" t="str">
        <f>IF('Clockify Raw'!A809="","",IF(LOWER('Clockify Raw'!A809)="break","Break",IF('Clockify Raw'!C809&lt;&gt;"",'Clockify Raw'!C809,IF('Clockify Raw'!D809&lt;&gt;"",'Clockify Raw'!D809,'Clockify Raw'!A809))))</f>
        <v/>
      </c>
      <c r="F809" s="24" t="str">
        <f>IF('Clockify Raw'!O809="","",'Clockify Raw'!O809/24)</f>
        <v/>
      </c>
      <c r="G809" t="str">
        <f>IF(A809="","",COUNTIFS($A$2:$A$1000,A809,$B$2:$B$1000,"&lt;"&amp;B809)+COUNTIFS($A$2:A809,A809,$B$2:B809,B809))</f>
        <v/>
      </c>
      <c r="H809" t="str">
        <f t="shared" si="12"/>
        <v/>
      </c>
    </row>
    <row r="810" spans="1:8">
      <c r="A810" s="25" t="str">
        <f>IF('Clockify Raw'!J810="","",'Clockify Raw'!J810)</f>
        <v/>
      </c>
      <c r="B810" s="23" t="str">
        <f>IF('Clockify Raw'!K810="","",VALUE('Clockify Raw'!K810))</f>
        <v/>
      </c>
      <c r="C810" s="23" t="str">
        <f>IF('Clockify Raw'!M810="","",VALUE('Clockify Raw'!M810))</f>
        <v/>
      </c>
      <c r="D810" t="str">
        <f>IF('Clockify Raw'!A810="","",IF(LOWER('Clockify Raw'!A810)="break","Break","Work"))</f>
        <v/>
      </c>
      <c r="E810" t="str">
        <f>IF('Clockify Raw'!A810="","",IF(LOWER('Clockify Raw'!A810)="break","Break",IF('Clockify Raw'!C810&lt;&gt;"",'Clockify Raw'!C810,IF('Clockify Raw'!D810&lt;&gt;"",'Clockify Raw'!D810,'Clockify Raw'!A810))))</f>
        <v/>
      </c>
      <c r="F810" s="24" t="str">
        <f>IF('Clockify Raw'!O810="","",'Clockify Raw'!O810/24)</f>
        <v/>
      </c>
      <c r="G810" t="str">
        <f>IF(A810="","",COUNTIFS($A$2:$A$1000,A810,$B$2:$B$1000,"&lt;"&amp;B810)+COUNTIFS($A$2:A810,A810,$B$2:B810,B810))</f>
        <v/>
      </c>
      <c r="H810" t="str">
        <f t="shared" si="12"/>
        <v/>
      </c>
    </row>
    <row r="811" spans="1:8">
      <c r="A811" s="25" t="str">
        <f>IF('Clockify Raw'!J811="","",'Clockify Raw'!J811)</f>
        <v/>
      </c>
      <c r="B811" s="23" t="str">
        <f>IF('Clockify Raw'!K811="","",VALUE('Clockify Raw'!K811))</f>
        <v/>
      </c>
      <c r="C811" s="23" t="str">
        <f>IF('Clockify Raw'!M811="","",VALUE('Clockify Raw'!M811))</f>
        <v/>
      </c>
      <c r="D811" t="str">
        <f>IF('Clockify Raw'!A811="","",IF(LOWER('Clockify Raw'!A811)="break","Break","Work"))</f>
        <v/>
      </c>
      <c r="E811" t="str">
        <f>IF('Clockify Raw'!A811="","",IF(LOWER('Clockify Raw'!A811)="break","Break",IF('Clockify Raw'!C811&lt;&gt;"",'Clockify Raw'!C811,IF('Clockify Raw'!D811&lt;&gt;"",'Clockify Raw'!D811,'Clockify Raw'!A811))))</f>
        <v/>
      </c>
      <c r="F811" s="24" t="str">
        <f>IF('Clockify Raw'!O811="","",'Clockify Raw'!O811/24)</f>
        <v/>
      </c>
      <c r="G811" t="str">
        <f>IF(A811="","",COUNTIFS($A$2:$A$1000,A811,$B$2:$B$1000,"&lt;"&amp;B811)+COUNTIFS($A$2:A811,A811,$B$2:B811,B811))</f>
        <v/>
      </c>
      <c r="H811" t="str">
        <f t="shared" si="12"/>
        <v/>
      </c>
    </row>
    <row r="812" spans="1:8">
      <c r="A812" s="25" t="str">
        <f>IF('Clockify Raw'!J812="","",'Clockify Raw'!J812)</f>
        <v/>
      </c>
      <c r="B812" s="23" t="str">
        <f>IF('Clockify Raw'!K812="","",VALUE('Clockify Raw'!K812))</f>
        <v/>
      </c>
      <c r="C812" s="23" t="str">
        <f>IF('Clockify Raw'!M812="","",VALUE('Clockify Raw'!M812))</f>
        <v/>
      </c>
      <c r="D812" t="str">
        <f>IF('Clockify Raw'!A812="","",IF(LOWER('Clockify Raw'!A812)="break","Break","Work"))</f>
        <v/>
      </c>
      <c r="E812" t="str">
        <f>IF('Clockify Raw'!A812="","",IF(LOWER('Clockify Raw'!A812)="break","Break",IF('Clockify Raw'!C812&lt;&gt;"",'Clockify Raw'!C812,IF('Clockify Raw'!D812&lt;&gt;"",'Clockify Raw'!D812,'Clockify Raw'!A812))))</f>
        <v/>
      </c>
      <c r="F812" s="24" t="str">
        <f>IF('Clockify Raw'!O812="","",'Clockify Raw'!O812/24)</f>
        <v/>
      </c>
      <c r="G812" t="str">
        <f>IF(A812="","",COUNTIFS($A$2:$A$1000,A812,$B$2:$B$1000,"&lt;"&amp;B812)+COUNTIFS($A$2:A812,A812,$B$2:B812,B812))</f>
        <v/>
      </c>
      <c r="H812" t="str">
        <f t="shared" si="12"/>
        <v/>
      </c>
    </row>
    <row r="813" spans="1:8">
      <c r="A813" s="25" t="str">
        <f>IF('Clockify Raw'!J813="","",'Clockify Raw'!J813)</f>
        <v/>
      </c>
      <c r="B813" s="23" t="str">
        <f>IF('Clockify Raw'!K813="","",VALUE('Clockify Raw'!K813))</f>
        <v/>
      </c>
      <c r="C813" s="23" t="str">
        <f>IF('Clockify Raw'!M813="","",VALUE('Clockify Raw'!M813))</f>
        <v/>
      </c>
      <c r="D813" t="str">
        <f>IF('Clockify Raw'!A813="","",IF(LOWER('Clockify Raw'!A813)="break","Break","Work"))</f>
        <v/>
      </c>
      <c r="E813" t="str">
        <f>IF('Clockify Raw'!A813="","",IF(LOWER('Clockify Raw'!A813)="break","Break",IF('Clockify Raw'!C813&lt;&gt;"",'Clockify Raw'!C813,IF('Clockify Raw'!D813&lt;&gt;"",'Clockify Raw'!D813,'Clockify Raw'!A813))))</f>
        <v/>
      </c>
      <c r="F813" s="24" t="str">
        <f>IF('Clockify Raw'!O813="","",'Clockify Raw'!O813/24)</f>
        <v/>
      </c>
      <c r="G813" t="str">
        <f>IF(A813="","",COUNTIFS($A$2:$A$1000,A813,$B$2:$B$1000,"&lt;"&amp;B813)+COUNTIFS($A$2:A813,A813,$B$2:B813,B813))</f>
        <v/>
      </c>
      <c r="H813" t="str">
        <f t="shared" si="12"/>
        <v/>
      </c>
    </row>
    <row r="814" spans="1:8">
      <c r="A814" s="25" t="str">
        <f>IF('Clockify Raw'!J814="","",'Clockify Raw'!J814)</f>
        <v/>
      </c>
      <c r="B814" s="23" t="str">
        <f>IF('Clockify Raw'!K814="","",VALUE('Clockify Raw'!K814))</f>
        <v/>
      </c>
      <c r="C814" s="23" t="str">
        <f>IF('Clockify Raw'!M814="","",VALUE('Clockify Raw'!M814))</f>
        <v/>
      </c>
      <c r="D814" t="str">
        <f>IF('Clockify Raw'!A814="","",IF(LOWER('Clockify Raw'!A814)="break","Break","Work"))</f>
        <v/>
      </c>
      <c r="E814" t="str">
        <f>IF('Clockify Raw'!A814="","",IF(LOWER('Clockify Raw'!A814)="break","Break",IF('Clockify Raw'!C814&lt;&gt;"",'Clockify Raw'!C814,IF('Clockify Raw'!D814&lt;&gt;"",'Clockify Raw'!D814,'Clockify Raw'!A814))))</f>
        <v/>
      </c>
      <c r="F814" s="24" t="str">
        <f>IF('Clockify Raw'!O814="","",'Clockify Raw'!O814/24)</f>
        <v/>
      </c>
      <c r="G814" t="str">
        <f>IF(A814="","",COUNTIFS($A$2:$A$1000,A814,$B$2:$B$1000,"&lt;"&amp;B814)+COUNTIFS($A$2:A814,A814,$B$2:B814,B814))</f>
        <v/>
      </c>
      <c r="H814" t="str">
        <f t="shared" si="12"/>
        <v/>
      </c>
    </row>
    <row r="815" spans="1:8">
      <c r="A815" s="25" t="str">
        <f>IF('Clockify Raw'!J815="","",'Clockify Raw'!J815)</f>
        <v/>
      </c>
      <c r="B815" s="23" t="str">
        <f>IF('Clockify Raw'!K815="","",VALUE('Clockify Raw'!K815))</f>
        <v/>
      </c>
      <c r="C815" s="23" t="str">
        <f>IF('Clockify Raw'!M815="","",VALUE('Clockify Raw'!M815))</f>
        <v/>
      </c>
      <c r="D815" t="str">
        <f>IF('Clockify Raw'!A815="","",IF(LOWER('Clockify Raw'!A815)="break","Break","Work"))</f>
        <v/>
      </c>
      <c r="E815" t="str">
        <f>IF('Clockify Raw'!A815="","",IF(LOWER('Clockify Raw'!A815)="break","Break",IF('Clockify Raw'!C815&lt;&gt;"",'Clockify Raw'!C815,IF('Clockify Raw'!D815&lt;&gt;"",'Clockify Raw'!D815,'Clockify Raw'!A815))))</f>
        <v/>
      </c>
      <c r="F815" s="24" t="str">
        <f>IF('Clockify Raw'!O815="","",'Clockify Raw'!O815/24)</f>
        <v/>
      </c>
      <c r="G815" t="str">
        <f>IF(A815="","",COUNTIFS($A$2:$A$1000,A815,$B$2:$B$1000,"&lt;"&amp;B815)+COUNTIFS($A$2:A815,A815,$B$2:B815,B815))</f>
        <v/>
      </c>
      <c r="H815" t="str">
        <f t="shared" si="12"/>
        <v/>
      </c>
    </row>
    <row r="816" spans="1:8">
      <c r="A816" s="25" t="str">
        <f>IF('Clockify Raw'!J816="","",'Clockify Raw'!J816)</f>
        <v/>
      </c>
      <c r="B816" s="23" t="str">
        <f>IF('Clockify Raw'!K816="","",VALUE('Clockify Raw'!K816))</f>
        <v/>
      </c>
      <c r="C816" s="23" t="str">
        <f>IF('Clockify Raw'!M816="","",VALUE('Clockify Raw'!M816))</f>
        <v/>
      </c>
      <c r="D816" t="str">
        <f>IF('Clockify Raw'!A816="","",IF(LOWER('Clockify Raw'!A816)="break","Break","Work"))</f>
        <v/>
      </c>
      <c r="E816" t="str">
        <f>IF('Clockify Raw'!A816="","",IF(LOWER('Clockify Raw'!A816)="break","Break",IF('Clockify Raw'!C816&lt;&gt;"",'Clockify Raw'!C816,IF('Clockify Raw'!D816&lt;&gt;"",'Clockify Raw'!D816,'Clockify Raw'!A816))))</f>
        <v/>
      </c>
      <c r="F816" s="24" t="str">
        <f>IF('Clockify Raw'!O816="","",'Clockify Raw'!O816/24)</f>
        <v/>
      </c>
      <c r="G816" t="str">
        <f>IF(A816="","",COUNTIFS($A$2:$A$1000,A816,$B$2:$B$1000,"&lt;"&amp;B816)+COUNTIFS($A$2:A816,A816,$B$2:B816,B816))</f>
        <v/>
      </c>
      <c r="H816" t="str">
        <f t="shared" si="12"/>
        <v/>
      </c>
    </row>
    <row r="817" spans="1:8">
      <c r="A817" s="25" t="str">
        <f>IF('Clockify Raw'!J817="","",'Clockify Raw'!J817)</f>
        <v/>
      </c>
      <c r="B817" s="23" t="str">
        <f>IF('Clockify Raw'!K817="","",VALUE('Clockify Raw'!K817))</f>
        <v/>
      </c>
      <c r="C817" s="23" t="str">
        <f>IF('Clockify Raw'!M817="","",VALUE('Clockify Raw'!M817))</f>
        <v/>
      </c>
      <c r="D817" t="str">
        <f>IF('Clockify Raw'!A817="","",IF(LOWER('Clockify Raw'!A817)="break","Break","Work"))</f>
        <v/>
      </c>
      <c r="E817" t="str">
        <f>IF('Clockify Raw'!A817="","",IF(LOWER('Clockify Raw'!A817)="break","Break",IF('Clockify Raw'!C817&lt;&gt;"",'Clockify Raw'!C817,IF('Clockify Raw'!D817&lt;&gt;"",'Clockify Raw'!D817,'Clockify Raw'!A817))))</f>
        <v/>
      </c>
      <c r="F817" s="24" t="str">
        <f>IF('Clockify Raw'!O817="","",'Clockify Raw'!O817/24)</f>
        <v/>
      </c>
      <c r="G817" t="str">
        <f>IF(A817="","",COUNTIFS($A$2:$A$1000,A817,$B$2:$B$1000,"&lt;"&amp;B817)+COUNTIFS($A$2:A817,A817,$B$2:B817,B817))</f>
        <v/>
      </c>
      <c r="H817" t="str">
        <f t="shared" si="12"/>
        <v/>
      </c>
    </row>
    <row r="818" spans="1:8">
      <c r="A818" s="25" t="str">
        <f>IF('Clockify Raw'!J818="","",'Clockify Raw'!J818)</f>
        <v/>
      </c>
      <c r="B818" s="23" t="str">
        <f>IF('Clockify Raw'!K818="","",VALUE('Clockify Raw'!K818))</f>
        <v/>
      </c>
      <c r="C818" s="23" t="str">
        <f>IF('Clockify Raw'!M818="","",VALUE('Clockify Raw'!M818))</f>
        <v/>
      </c>
      <c r="D818" t="str">
        <f>IF('Clockify Raw'!A818="","",IF(LOWER('Clockify Raw'!A818)="break","Break","Work"))</f>
        <v/>
      </c>
      <c r="E818" t="str">
        <f>IF('Clockify Raw'!A818="","",IF(LOWER('Clockify Raw'!A818)="break","Break",IF('Clockify Raw'!C818&lt;&gt;"",'Clockify Raw'!C818,IF('Clockify Raw'!D818&lt;&gt;"",'Clockify Raw'!D818,'Clockify Raw'!A818))))</f>
        <v/>
      </c>
      <c r="F818" s="24" t="str">
        <f>IF('Clockify Raw'!O818="","",'Clockify Raw'!O818/24)</f>
        <v/>
      </c>
      <c r="G818" t="str">
        <f>IF(A818="","",COUNTIFS($A$2:$A$1000,A818,$B$2:$B$1000,"&lt;"&amp;B818)+COUNTIFS($A$2:A818,A818,$B$2:B818,B818))</f>
        <v/>
      </c>
      <c r="H818" t="str">
        <f t="shared" si="12"/>
        <v/>
      </c>
    </row>
    <row r="819" spans="1:8">
      <c r="A819" s="25" t="str">
        <f>IF('Clockify Raw'!J819="","",'Clockify Raw'!J819)</f>
        <v/>
      </c>
      <c r="B819" s="23" t="str">
        <f>IF('Clockify Raw'!K819="","",VALUE('Clockify Raw'!K819))</f>
        <v/>
      </c>
      <c r="C819" s="23" t="str">
        <f>IF('Clockify Raw'!M819="","",VALUE('Clockify Raw'!M819))</f>
        <v/>
      </c>
      <c r="D819" t="str">
        <f>IF('Clockify Raw'!A819="","",IF(LOWER('Clockify Raw'!A819)="break","Break","Work"))</f>
        <v/>
      </c>
      <c r="E819" t="str">
        <f>IF('Clockify Raw'!A819="","",IF(LOWER('Clockify Raw'!A819)="break","Break",IF('Clockify Raw'!C819&lt;&gt;"",'Clockify Raw'!C819,IF('Clockify Raw'!D819&lt;&gt;"",'Clockify Raw'!D819,'Clockify Raw'!A819))))</f>
        <v/>
      </c>
      <c r="F819" s="24" t="str">
        <f>IF('Clockify Raw'!O819="","",'Clockify Raw'!O819/24)</f>
        <v/>
      </c>
      <c r="G819" t="str">
        <f>IF(A819="","",COUNTIFS($A$2:$A$1000,A819,$B$2:$B$1000,"&lt;"&amp;B819)+COUNTIFS($A$2:A819,A819,$B$2:B819,B819))</f>
        <v/>
      </c>
      <c r="H819" t="str">
        <f t="shared" si="12"/>
        <v/>
      </c>
    </row>
    <row r="820" spans="1:8">
      <c r="A820" s="25" t="str">
        <f>IF('Clockify Raw'!J820="","",'Clockify Raw'!J820)</f>
        <v/>
      </c>
      <c r="B820" s="23" t="str">
        <f>IF('Clockify Raw'!K820="","",VALUE('Clockify Raw'!K820))</f>
        <v/>
      </c>
      <c r="C820" s="23" t="str">
        <f>IF('Clockify Raw'!M820="","",VALUE('Clockify Raw'!M820))</f>
        <v/>
      </c>
      <c r="D820" t="str">
        <f>IF('Clockify Raw'!A820="","",IF(LOWER('Clockify Raw'!A820)="break","Break","Work"))</f>
        <v/>
      </c>
      <c r="E820" t="str">
        <f>IF('Clockify Raw'!A820="","",IF(LOWER('Clockify Raw'!A820)="break","Break",IF('Clockify Raw'!C820&lt;&gt;"",'Clockify Raw'!C820,IF('Clockify Raw'!D820&lt;&gt;"",'Clockify Raw'!D820,'Clockify Raw'!A820))))</f>
        <v/>
      </c>
      <c r="F820" s="24" t="str">
        <f>IF('Clockify Raw'!O820="","",'Clockify Raw'!O820/24)</f>
        <v/>
      </c>
      <c r="G820" t="str">
        <f>IF(A820="","",COUNTIFS($A$2:$A$1000,A820,$B$2:$B$1000,"&lt;"&amp;B820)+COUNTIFS($A$2:A820,A820,$B$2:B820,B820))</f>
        <v/>
      </c>
      <c r="H820" t="str">
        <f t="shared" si="12"/>
        <v/>
      </c>
    </row>
    <row r="821" spans="1:8">
      <c r="A821" s="25" t="str">
        <f>IF('Clockify Raw'!J821="","",'Clockify Raw'!J821)</f>
        <v/>
      </c>
      <c r="B821" s="23" t="str">
        <f>IF('Clockify Raw'!K821="","",VALUE('Clockify Raw'!K821))</f>
        <v/>
      </c>
      <c r="C821" s="23" t="str">
        <f>IF('Clockify Raw'!M821="","",VALUE('Clockify Raw'!M821))</f>
        <v/>
      </c>
      <c r="D821" t="str">
        <f>IF('Clockify Raw'!A821="","",IF(LOWER('Clockify Raw'!A821)="break","Break","Work"))</f>
        <v/>
      </c>
      <c r="E821" t="str">
        <f>IF('Clockify Raw'!A821="","",IF(LOWER('Clockify Raw'!A821)="break","Break",IF('Clockify Raw'!C821&lt;&gt;"",'Clockify Raw'!C821,IF('Clockify Raw'!D821&lt;&gt;"",'Clockify Raw'!D821,'Clockify Raw'!A821))))</f>
        <v/>
      </c>
      <c r="F821" s="24" t="str">
        <f>IF('Clockify Raw'!O821="","",'Clockify Raw'!O821/24)</f>
        <v/>
      </c>
      <c r="G821" t="str">
        <f>IF(A821="","",COUNTIFS($A$2:$A$1000,A821,$B$2:$B$1000,"&lt;"&amp;B821)+COUNTIFS($A$2:A821,A821,$B$2:B821,B821))</f>
        <v/>
      </c>
      <c r="H821" t="str">
        <f t="shared" si="12"/>
        <v/>
      </c>
    </row>
    <row r="822" spans="1:8">
      <c r="A822" s="25" t="str">
        <f>IF('Clockify Raw'!J822="","",'Clockify Raw'!J822)</f>
        <v/>
      </c>
      <c r="B822" s="23" t="str">
        <f>IF('Clockify Raw'!K822="","",VALUE('Clockify Raw'!K822))</f>
        <v/>
      </c>
      <c r="C822" s="23" t="str">
        <f>IF('Clockify Raw'!M822="","",VALUE('Clockify Raw'!M822))</f>
        <v/>
      </c>
      <c r="D822" t="str">
        <f>IF('Clockify Raw'!A822="","",IF(LOWER('Clockify Raw'!A822)="break","Break","Work"))</f>
        <v/>
      </c>
      <c r="E822" t="str">
        <f>IF('Clockify Raw'!A822="","",IF(LOWER('Clockify Raw'!A822)="break","Break",IF('Clockify Raw'!C822&lt;&gt;"",'Clockify Raw'!C822,IF('Clockify Raw'!D822&lt;&gt;"",'Clockify Raw'!D822,'Clockify Raw'!A822))))</f>
        <v/>
      </c>
      <c r="F822" s="24" t="str">
        <f>IF('Clockify Raw'!O822="","",'Clockify Raw'!O822/24)</f>
        <v/>
      </c>
      <c r="G822" t="str">
        <f>IF(A822="","",COUNTIFS($A$2:$A$1000,A822,$B$2:$B$1000,"&lt;"&amp;B822)+COUNTIFS($A$2:A822,A822,$B$2:B822,B822))</f>
        <v/>
      </c>
      <c r="H822" t="str">
        <f t="shared" si="12"/>
        <v/>
      </c>
    </row>
    <row r="823" spans="1:8">
      <c r="A823" s="25" t="str">
        <f>IF('Clockify Raw'!J823="","",'Clockify Raw'!J823)</f>
        <v/>
      </c>
      <c r="B823" s="23" t="str">
        <f>IF('Clockify Raw'!K823="","",VALUE('Clockify Raw'!K823))</f>
        <v/>
      </c>
      <c r="C823" s="23" t="str">
        <f>IF('Clockify Raw'!M823="","",VALUE('Clockify Raw'!M823))</f>
        <v/>
      </c>
      <c r="D823" t="str">
        <f>IF('Clockify Raw'!A823="","",IF(LOWER('Clockify Raw'!A823)="break","Break","Work"))</f>
        <v/>
      </c>
      <c r="E823" t="str">
        <f>IF('Clockify Raw'!A823="","",IF(LOWER('Clockify Raw'!A823)="break","Break",IF('Clockify Raw'!C823&lt;&gt;"",'Clockify Raw'!C823,IF('Clockify Raw'!D823&lt;&gt;"",'Clockify Raw'!D823,'Clockify Raw'!A823))))</f>
        <v/>
      </c>
      <c r="F823" s="24" t="str">
        <f>IF('Clockify Raw'!O823="","",'Clockify Raw'!O823/24)</f>
        <v/>
      </c>
      <c r="G823" t="str">
        <f>IF(A823="","",COUNTIFS($A$2:$A$1000,A823,$B$2:$B$1000,"&lt;"&amp;B823)+COUNTIFS($A$2:A823,A823,$B$2:B823,B823))</f>
        <v/>
      </c>
      <c r="H823" t="str">
        <f t="shared" si="12"/>
        <v/>
      </c>
    </row>
    <row r="824" spans="1:8">
      <c r="A824" s="25" t="str">
        <f>IF('Clockify Raw'!J824="","",'Clockify Raw'!J824)</f>
        <v/>
      </c>
      <c r="B824" s="23" t="str">
        <f>IF('Clockify Raw'!K824="","",VALUE('Clockify Raw'!K824))</f>
        <v/>
      </c>
      <c r="C824" s="23" t="str">
        <f>IF('Clockify Raw'!M824="","",VALUE('Clockify Raw'!M824))</f>
        <v/>
      </c>
      <c r="D824" t="str">
        <f>IF('Clockify Raw'!A824="","",IF(LOWER('Clockify Raw'!A824)="break","Break","Work"))</f>
        <v/>
      </c>
      <c r="E824" t="str">
        <f>IF('Clockify Raw'!A824="","",IF(LOWER('Clockify Raw'!A824)="break","Break",IF('Clockify Raw'!C824&lt;&gt;"",'Clockify Raw'!C824,IF('Clockify Raw'!D824&lt;&gt;"",'Clockify Raw'!D824,'Clockify Raw'!A824))))</f>
        <v/>
      </c>
      <c r="F824" s="24" t="str">
        <f>IF('Clockify Raw'!O824="","",'Clockify Raw'!O824/24)</f>
        <v/>
      </c>
      <c r="G824" t="str">
        <f>IF(A824="","",COUNTIFS($A$2:$A$1000,A824,$B$2:$B$1000,"&lt;"&amp;B824)+COUNTIFS($A$2:A824,A824,$B$2:B824,B824))</f>
        <v/>
      </c>
      <c r="H824" t="str">
        <f t="shared" si="12"/>
        <v/>
      </c>
    </row>
    <row r="825" spans="1:8">
      <c r="A825" s="25" t="str">
        <f>IF('Clockify Raw'!J825="","",'Clockify Raw'!J825)</f>
        <v/>
      </c>
      <c r="B825" s="23" t="str">
        <f>IF('Clockify Raw'!K825="","",VALUE('Clockify Raw'!K825))</f>
        <v/>
      </c>
      <c r="C825" s="23" t="str">
        <f>IF('Clockify Raw'!M825="","",VALUE('Clockify Raw'!M825))</f>
        <v/>
      </c>
      <c r="D825" t="str">
        <f>IF('Clockify Raw'!A825="","",IF(LOWER('Clockify Raw'!A825)="break","Break","Work"))</f>
        <v/>
      </c>
      <c r="E825" t="str">
        <f>IF('Clockify Raw'!A825="","",IF(LOWER('Clockify Raw'!A825)="break","Break",IF('Clockify Raw'!C825&lt;&gt;"",'Clockify Raw'!C825,IF('Clockify Raw'!D825&lt;&gt;"",'Clockify Raw'!D825,'Clockify Raw'!A825))))</f>
        <v/>
      </c>
      <c r="F825" s="24" t="str">
        <f>IF('Clockify Raw'!O825="","",'Clockify Raw'!O825/24)</f>
        <v/>
      </c>
      <c r="G825" t="str">
        <f>IF(A825="","",COUNTIFS($A$2:$A$1000,A825,$B$2:$B$1000,"&lt;"&amp;B825)+COUNTIFS($A$2:A825,A825,$B$2:B825,B825))</f>
        <v/>
      </c>
      <c r="H825" t="str">
        <f t="shared" si="12"/>
        <v/>
      </c>
    </row>
    <row r="826" spans="1:8">
      <c r="A826" s="25" t="str">
        <f>IF('Clockify Raw'!J826="","",'Clockify Raw'!J826)</f>
        <v/>
      </c>
      <c r="B826" s="23" t="str">
        <f>IF('Clockify Raw'!K826="","",VALUE('Clockify Raw'!K826))</f>
        <v/>
      </c>
      <c r="C826" s="23" t="str">
        <f>IF('Clockify Raw'!M826="","",VALUE('Clockify Raw'!M826))</f>
        <v/>
      </c>
      <c r="D826" t="str">
        <f>IF('Clockify Raw'!A826="","",IF(LOWER('Clockify Raw'!A826)="break","Break","Work"))</f>
        <v/>
      </c>
      <c r="E826" t="str">
        <f>IF('Clockify Raw'!A826="","",IF(LOWER('Clockify Raw'!A826)="break","Break",IF('Clockify Raw'!C826&lt;&gt;"",'Clockify Raw'!C826,IF('Clockify Raw'!D826&lt;&gt;"",'Clockify Raw'!D826,'Clockify Raw'!A826))))</f>
        <v/>
      </c>
      <c r="F826" s="24" t="str">
        <f>IF('Clockify Raw'!O826="","",'Clockify Raw'!O826/24)</f>
        <v/>
      </c>
      <c r="G826" t="str">
        <f>IF(A826="","",COUNTIFS($A$2:$A$1000,A826,$B$2:$B$1000,"&lt;"&amp;B826)+COUNTIFS($A$2:A826,A826,$B$2:B826,B826))</f>
        <v/>
      </c>
      <c r="H826" t="str">
        <f t="shared" si="12"/>
        <v/>
      </c>
    </row>
    <row r="827" spans="1:8">
      <c r="A827" s="25" t="str">
        <f>IF('Clockify Raw'!J827="","",'Clockify Raw'!J827)</f>
        <v/>
      </c>
      <c r="B827" s="23" t="str">
        <f>IF('Clockify Raw'!K827="","",VALUE('Clockify Raw'!K827))</f>
        <v/>
      </c>
      <c r="C827" s="23" t="str">
        <f>IF('Clockify Raw'!M827="","",VALUE('Clockify Raw'!M827))</f>
        <v/>
      </c>
      <c r="D827" t="str">
        <f>IF('Clockify Raw'!A827="","",IF(LOWER('Clockify Raw'!A827)="break","Break","Work"))</f>
        <v/>
      </c>
      <c r="E827" t="str">
        <f>IF('Clockify Raw'!A827="","",IF(LOWER('Clockify Raw'!A827)="break","Break",IF('Clockify Raw'!C827&lt;&gt;"",'Clockify Raw'!C827,IF('Clockify Raw'!D827&lt;&gt;"",'Clockify Raw'!D827,'Clockify Raw'!A827))))</f>
        <v/>
      </c>
      <c r="F827" s="24" t="str">
        <f>IF('Clockify Raw'!O827="","",'Clockify Raw'!O827/24)</f>
        <v/>
      </c>
      <c r="G827" t="str">
        <f>IF(A827="","",COUNTIFS($A$2:$A$1000,A827,$B$2:$B$1000,"&lt;"&amp;B827)+COUNTIFS($A$2:A827,A827,$B$2:B827,B827))</f>
        <v/>
      </c>
      <c r="H827" t="str">
        <f t="shared" si="12"/>
        <v/>
      </c>
    </row>
    <row r="828" spans="1:8">
      <c r="A828" s="25" t="str">
        <f>IF('Clockify Raw'!J828="","",'Clockify Raw'!J828)</f>
        <v/>
      </c>
      <c r="B828" s="23" t="str">
        <f>IF('Clockify Raw'!K828="","",VALUE('Clockify Raw'!K828))</f>
        <v/>
      </c>
      <c r="C828" s="23" t="str">
        <f>IF('Clockify Raw'!M828="","",VALUE('Clockify Raw'!M828))</f>
        <v/>
      </c>
      <c r="D828" t="str">
        <f>IF('Clockify Raw'!A828="","",IF(LOWER('Clockify Raw'!A828)="break","Break","Work"))</f>
        <v/>
      </c>
      <c r="E828" t="str">
        <f>IF('Clockify Raw'!A828="","",IF(LOWER('Clockify Raw'!A828)="break","Break",IF('Clockify Raw'!C828&lt;&gt;"",'Clockify Raw'!C828,IF('Clockify Raw'!D828&lt;&gt;"",'Clockify Raw'!D828,'Clockify Raw'!A828))))</f>
        <v/>
      </c>
      <c r="F828" s="24" t="str">
        <f>IF('Clockify Raw'!O828="","",'Clockify Raw'!O828/24)</f>
        <v/>
      </c>
      <c r="G828" t="str">
        <f>IF(A828="","",COUNTIFS($A$2:$A$1000,A828,$B$2:$B$1000,"&lt;"&amp;B828)+COUNTIFS($A$2:A828,A828,$B$2:B828,B828))</f>
        <v/>
      </c>
      <c r="H828" t="str">
        <f t="shared" si="12"/>
        <v/>
      </c>
    </row>
    <row r="829" spans="1:8">
      <c r="A829" s="25" t="str">
        <f>IF('Clockify Raw'!J829="","",'Clockify Raw'!J829)</f>
        <v/>
      </c>
      <c r="B829" s="23" t="str">
        <f>IF('Clockify Raw'!K829="","",VALUE('Clockify Raw'!K829))</f>
        <v/>
      </c>
      <c r="C829" s="23" t="str">
        <f>IF('Clockify Raw'!M829="","",VALUE('Clockify Raw'!M829))</f>
        <v/>
      </c>
      <c r="D829" t="str">
        <f>IF('Clockify Raw'!A829="","",IF(LOWER('Clockify Raw'!A829)="break","Break","Work"))</f>
        <v/>
      </c>
      <c r="E829" t="str">
        <f>IF('Clockify Raw'!A829="","",IF(LOWER('Clockify Raw'!A829)="break","Break",IF('Clockify Raw'!C829&lt;&gt;"",'Clockify Raw'!C829,IF('Clockify Raw'!D829&lt;&gt;"",'Clockify Raw'!D829,'Clockify Raw'!A829))))</f>
        <v/>
      </c>
      <c r="F829" s="24" t="str">
        <f>IF('Clockify Raw'!O829="","",'Clockify Raw'!O829/24)</f>
        <v/>
      </c>
      <c r="G829" t="str">
        <f>IF(A829="","",COUNTIFS($A$2:$A$1000,A829,$B$2:$B$1000,"&lt;"&amp;B829)+COUNTIFS($A$2:A829,A829,$B$2:B829,B829))</f>
        <v/>
      </c>
      <c r="H829" t="str">
        <f t="shared" si="12"/>
        <v/>
      </c>
    </row>
    <row r="830" spans="1:8">
      <c r="A830" s="25" t="str">
        <f>IF('Clockify Raw'!J830="","",'Clockify Raw'!J830)</f>
        <v/>
      </c>
      <c r="B830" s="23" t="str">
        <f>IF('Clockify Raw'!K830="","",VALUE('Clockify Raw'!K830))</f>
        <v/>
      </c>
      <c r="C830" s="23" t="str">
        <f>IF('Clockify Raw'!M830="","",VALUE('Clockify Raw'!M830))</f>
        <v/>
      </c>
      <c r="D830" t="str">
        <f>IF('Clockify Raw'!A830="","",IF(LOWER('Clockify Raw'!A830)="break","Break","Work"))</f>
        <v/>
      </c>
      <c r="E830" t="str">
        <f>IF('Clockify Raw'!A830="","",IF(LOWER('Clockify Raw'!A830)="break","Break",IF('Clockify Raw'!C830&lt;&gt;"",'Clockify Raw'!C830,IF('Clockify Raw'!D830&lt;&gt;"",'Clockify Raw'!D830,'Clockify Raw'!A830))))</f>
        <v/>
      </c>
      <c r="F830" s="24" t="str">
        <f>IF('Clockify Raw'!O830="","",'Clockify Raw'!O830/24)</f>
        <v/>
      </c>
      <c r="G830" t="str">
        <f>IF(A830="","",COUNTIFS($A$2:$A$1000,A830,$B$2:$B$1000,"&lt;"&amp;B830)+COUNTIFS($A$2:A830,A830,$B$2:B830,B830))</f>
        <v/>
      </c>
      <c r="H830" t="str">
        <f t="shared" si="12"/>
        <v/>
      </c>
    </row>
    <row r="831" spans="1:8">
      <c r="A831" s="25" t="str">
        <f>IF('Clockify Raw'!J831="","",'Clockify Raw'!J831)</f>
        <v/>
      </c>
      <c r="B831" s="23" t="str">
        <f>IF('Clockify Raw'!K831="","",VALUE('Clockify Raw'!K831))</f>
        <v/>
      </c>
      <c r="C831" s="23" t="str">
        <f>IF('Clockify Raw'!M831="","",VALUE('Clockify Raw'!M831))</f>
        <v/>
      </c>
      <c r="D831" t="str">
        <f>IF('Clockify Raw'!A831="","",IF(LOWER('Clockify Raw'!A831)="break","Break","Work"))</f>
        <v/>
      </c>
      <c r="E831" t="str">
        <f>IF('Clockify Raw'!A831="","",IF(LOWER('Clockify Raw'!A831)="break","Break",IF('Clockify Raw'!C831&lt;&gt;"",'Clockify Raw'!C831,IF('Clockify Raw'!D831&lt;&gt;"",'Clockify Raw'!D831,'Clockify Raw'!A831))))</f>
        <v/>
      </c>
      <c r="F831" s="24" t="str">
        <f>IF('Clockify Raw'!O831="","",'Clockify Raw'!O831/24)</f>
        <v/>
      </c>
      <c r="G831" t="str">
        <f>IF(A831="","",COUNTIFS($A$2:$A$1000,A831,$B$2:$B$1000,"&lt;"&amp;B831)+COUNTIFS($A$2:A831,A831,$B$2:B831,B831))</f>
        <v/>
      </c>
      <c r="H831" t="str">
        <f t="shared" si="12"/>
        <v/>
      </c>
    </row>
    <row r="832" spans="1:8">
      <c r="A832" s="25" t="str">
        <f>IF('Clockify Raw'!J832="","",'Clockify Raw'!J832)</f>
        <v/>
      </c>
      <c r="B832" s="23" t="str">
        <f>IF('Clockify Raw'!K832="","",VALUE('Clockify Raw'!K832))</f>
        <v/>
      </c>
      <c r="C832" s="23" t="str">
        <f>IF('Clockify Raw'!M832="","",VALUE('Clockify Raw'!M832))</f>
        <v/>
      </c>
      <c r="D832" t="str">
        <f>IF('Clockify Raw'!A832="","",IF(LOWER('Clockify Raw'!A832)="break","Break","Work"))</f>
        <v/>
      </c>
      <c r="E832" t="str">
        <f>IF('Clockify Raw'!A832="","",IF(LOWER('Clockify Raw'!A832)="break","Break",IF('Clockify Raw'!C832&lt;&gt;"",'Clockify Raw'!C832,IF('Clockify Raw'!D832&lt;&gt;"",'Clockify Raw'!D832,'Clockify Raw'!A832))))</f>
        <v/>
      </c>
      <c r="F832" s="24" t="str">
        <f>IF('Clockify Raw'!O832="","",'Clockify Raw'!O832/24)</f>
        <v/>
      </c>
      <c r="G832" t="str">
        <f>IF(A832="","",COUNTIFS($A$2:$A$1000,A832,$B$2:$B$1000,"&lt;"&amp;B832)+COUNTIFS($A$2:A832,A832,$B$2:B832,B832))</f>
        <v/>
      </c>
      <c r="H832" t="str">
        <f t="shared" si="12"/>
        <v/>
      </c>
    </row>
    <row r="833" spans="1:8">
      <c r="A833" s="25" t="str">
        <f>IF('Clockify Raw'!J833="","",'Clockify Raw'!J833)</f>
        <v/>
      </c>
      <c r="B833" s="23" t="str">
        <f>IF('Clockify Raw'!K833="","",VALUE('Clockify Raw'!K833))</f>
        <v/>
      </c>
      <c r="C833" s="23" t="str">
        <f>IF('Clockify Raw'!M833="","",VALUE('Clockify Raw'!M833))</f>
        <v/>
      </c>
      <c r="D833" t="str">
        <f>IF('Clockify Raw'!A833="","",IF(LOWER('Clockify Raw'!A833)="break","Break","Work"))</f>
        <v/>
      </c>
      <c r="E833" t="str">
        <f>IF('Clockify Raw'!A833="","",IF(LOWER('Clockify Raw'!A833)="break","Break",IF('Clockify Raw'!C833&lt;&gt;"",'Clockify Raw'!C833,IF('Clockify Raw'!D833&lt;&gt;"",'Clockify Raw'!D833,'Clockify Raw'!A833))))</f>
        <v/>
      </c>
      <c r="F833" s="24" t="str">
        <f>IF('Clockify Raw'!O833="","",'Clockify Raw'!O833/24)</f>
        <v/>
      </c>
      <c r="G833" t="str">
        <f>IF(A833="","",COUNTIFS($A$2:$A$1000,A833,$B$2:$B$1000,"&lt;"&amp;B833)+COUNTIFS($A$2:A833,A833,$B$2:B833,B833))</f>
        <v/>
      </c>
      <c r="H833" t="str">
        <f t="shared" si="12"/>
        <v/>
      </c>
    </row>
    <row r="834" spans="1:8">
      <c r="A834" s="25" t="str">
        <f>IF('Clockify Raw'!J834="","",'Clockify Raw'!J834)</f>
        <v/>
      </c>
      <c r="B834" s="23" t="str">
        <f>IF('Clockify Raw'!K834="","",VALUE('Clockify Raw'!K834))</f>
        <v/>
      </c>
      <c r="C834" s="23" t="str">
        <f>IF('Clockify Raw'!M834="","",VALUE('Clockify Raw'!M834))</f>
        <v/>
      </c>
      <c r="D834" t="str">
        <f>IF('Clockify Raw'!A834="","",IF(LOWER('Clockify Raw'!A834)="break","Break","Work"))</f>
        <v/>
      </c>
      <c r="E834" t="str">
        <f>IF('Clockify Raw'!A834="","",IF(LOWER('Clockify Raw'!A834)="break","Break",IF('Clockify Raw'!C834&lt;&gt;"",'Clockify Raw'!C834,IF('Clockify Raw'!D834&lt;&gt;"",'Clockify Raw'!D834,'Clockify Raw'!A834))))</f>
        <v/>
      </c>
      <c r="F834" s="24" t="str">
        <f>IF('Clockify Raw'!O834="","",'Clockify Raw'!O834/24)</f>
        <v/>
      </c>
      <c r="G834" t="str">
        <f>IF(A834="","",COUNTIFS($A$2:$A$1000,A834,$B$2:$B$1000,"&lt;"&amp;B834)+COUNTIFS($A$2:A834,A834,$B$2:B834,B834))</f>
        <v/>
      </c>
      <c r="H834" t="str">
        <f t="shared" ref="H834:H897" si="13">IF(A834="","",TEXT(A834,"yyyymmdd")&amp;"|"&amp;G834)</f>
        <v/>
      </c>
    </row>
    <row r="835" spans="1:8">
      <c r="A835" s="25" t="str">
        <f>IF('Clockify Raw'!J835="","",'Clockify Raw'!J835)</f>
        <v/>
      </c>
      <c r="B835" s="23" t="str">
        <f>IF('Clockify Raw'!K835="","",VALUE('Clockify Raw'!K835))</f>
        <v/>
      </c>
      <c r="C835" s="23" t="str">
        <f>IF('Clockify Raw'!M835="","",VALUE('Clockify Raw'!M835))</f>
        <v/>
      </c>
      <c r="D835" t="str">
        <f>IF('Clockify Raw'!A835="","",IF(LOWER('Clockify Raw'!A835)="break","Break","Work"))</f>
        <v/>
      </c>
      <c r="E835" t="str">
        <f>IF('Clockify Raw'!A835="","",IF(LOWER('Clockify Raw'!A835)="break","Break",IF('Clockify Raw'!C835&lt;&gt;"",'Clockify Raw'!C835,IF('Clockify Raw'!D835&lt;&gt;"",'Clockify Raw'!D835,'Clockify Raw'!A835))))</f>
        <v/>
      </c>
      <c r="F835" s="24" t="str">
        <f>IF('Clockify Raw'!O835="","",'Clockify Raw'!O835/24)</f>
        <v/>
      </c>
      <c r="G835" t="str">
        <f>IF(A835="","",COUNTIFS($A$2:$A$1000,A835,$B$2:$B$1000,"&lt;"&amp;B835)+COUNTIFS($A$2:A835,A835,$B$2:B835,B835))</f>
        <v/>
      </c>
      <c r="H835" t="str">
        <f t="shared" si="13"/>
        <v/>
      </c>
    </row>
    <row r="836" spans="1:8">
      <c r="A836" s="25" t="str">
        <f>IF('Clockify Raw'!J836="","",'Clockify Raw'!J836)</f>
        <v/>
      </c>
      <c r="B836" s="23" t="str">
        <f>IF('Clockify Raw'!K836="","",VALUE('Clockify Raw'!K836))</f>
        <v/>
      </c>
      <c r="C836" s="23" t="str">
        <f>IF('Clockify Raw'!M836="","",VALUE('Clockify Raw'!M836))</f>
        <v/>
      </c>
      <c r="D836" t="str">
        <f>IF('Clockify Raw'!A836="","",IF(LOWER('Clockify Raw'!A836)="break","Break","Work"))</f>
        <v/>
      </c>
      <c r="E836" t="str">
        <f>IF('Clockify Raw'!A836="","",IF(LOWER('Clockify Raw'!A836)="break","Break",IF('Clockify Raw'!C836&lt;&gt;"",'Clockify Raw'!C836,IF('Clockify Raw'!D836&lt;&gt;"",'Clockify Raw'!D836,'Clockify Raw'!A836))))</f>
        <v/>
      </c>
      <c r="F836" s="24" t="str">
        <f>IF('Clockify Raw'!O836="","",'Clockify Raw'!O836/24)</f>
        <v/>
      </c>
      <c r="G836" t="str">
        <f>IF(A836="","",COUNTIFS($A$2:$A$1000,A836,$B$2:$B$1000,"&lt;"&amp;B836)+COUNTIFS($A$2:A836,A836,$B$2:B836,B836))</f>
        <v/>
      </c>
      <c r="H836" t="str">
        <f t="shared" si="13"/>
        <v/>
      </c>
    </row>
    <row r="837" spans="1:8">
      <c r="A837" s="25" t="str">
        <f>IF('Clockify Raw'!J837="","",'Clockify Raw'!J837)</f>
        <v/>
      </c>
      <c r="B837" s="23" t="str">
        <f>IF('Clockify Raw'!K837="","",VALUE('Clockify Raw'!K837))</f>
        <v/>
      </c>
      <c r="C837" s="23" t="str">
        <f>IF('Clockify Raw'!M837="","",VALUE('Clockify Raw'!M837))</f>
        <v/>
      </c>
      <c r="D837" t="str">
        <f>IF('Clockify Raw'!A837="","",IF(LOWER('Clockify Raw'!A837)="break","Break","Work"))</f>
        <v/>
      </c>
      <c r="E837" t="str">
        <f>IF('Clockify Raw'!A837="","",IF(LOWER('Clockify Raw'!A837)="break","Break",IF('Clockify Raw'!C837&lt;&gt;"",'Clockify Raw'!C837,IF('Clockify Raw'!D837&lt;&gt;"",'Clockify Raw'!D837,'Clockify Raw'!A837))))</f>
        <v/>
      </c>
      <c r="F837" s="24" t="str">
        <f>IF('Clockify Raw'!O837="","",'Clockify Raw'!O837/24)</f>
        <v/>
      </c>
      <c r="G837" t="str">
        <f>IF(A837="","",COUNTIFS($A$2:$A$1000,A837,$B$2:$B$1000,"&lt;"&amp;B837)+COUNTIFS($A$2:A837,A837,$B$2:B837,B837))</f>
        <v/>
      </c>
      <c r="H837" t="str">
        <f t="shared" si="13"/>
        <v/>
      </c>
    </row>
    <row r="838" spans="1:8">
      <c r="A838" s="25" t="str">
        <f>IF('Clockify Raw'!J838="","",'Clockify Raw'!J838)</f>
        <v/>
      </c>
      <c r="B838" s="23" t="str">
        <f>IF('Clockify Raw'!K838="","",VALUE('Clockify Raw'!K838))</f>
        <v/>
      </c>
      <c r="C838" s="23" t="str">
        <f>IF('Clockify Raw'!M838="","",VALUE('Clockify Raw'!M838))</f>
        <v/>
      </c>
      <c r="D838" t="str">
        <f>IF('Clockify Raw'!A838="","",IF(LOWER('Clockify Raw'!A838)="break","Break","Work"))</f>
        <v/>
      </c>
      <c r="E838" t="str">
        <f>IF('Clockify Raw'!A838="","",IF(LOWER('Clockify Raw'!A838)="break","Break",IF('Clockify Raw'!C838&lt;&gt;"",'Clockify Raw'!C838,IF('Clockify Raw'!D838&lt;&gt;"",'Clockify Raw'!D838,'Clockify Raw'!A838))))</f>
        <v/>
      </c>
      <c r="F838" s="24" t="str">
        <f>IF('Clockify Raw'!O838="","",'Clockify Raw'!O838/24)</f>
        <v/>
      </c>
      <c r="G838" t="str">
        <f>IF(A838="","",COUNTIFS($A$2:$A$1000,A838,$B$2:$B$1000,"&lt;"&amp;B838)+COUNTIFS($A$2:A838,A838,$B$2:B838,B838))</f>
        <v/>
      </c>
      <c r="H838" t="str">
        <f t="shared" si="13"/>
        <v/>
      </c>
    </row>
    <row r="839" spans="1:8">
      <c r="A839" s="25" t="str">
        <f>IF('Clockify Raw'!J839="","",'Clockify Raw'!J839)</f>
        <v/>
      </c>
      <c r="B839" s="23" t="str">
        <f>IF('Clockify Raw'!K839="","",VALUE('Clockify Raw'!K839))</f>
        <v/>
      </c>
      <c r="C839" s="23" t="str">
        <f>IF('Clockify Raw'!M839="","",VALUE('Clockify Raw'!M839))</f>
        <v/>
      </c>
      <c r="D839" t="str">
        <f>IF('Clockify Raw'!A839="","",IF(LOWER('Clockify Raw'!A839)="break","Break","Work"))</f>
        <v/>
      </c>
      <c r="E839" t="str">
        <f>IF('Clockify Raw'!A839="","",IF(LOWER('Clockify Raw'!A839)="break","Break",IF('Clockify Raw'!C839&lt;&gt;"",'Clockify Raw'!C839,IF('Clockify Raw'!D839&lt;&gt;"",'Clockify Raw'!D839,'Clockify Raw'!A839))))</f>
        <v/>
      </c>
      <c r="F839" s="24" t="str">
        <f>IF('Clockify Raw'!O839="","",'Clockify Raw'!O839/24)</f>
        <v/>
      </c>
      <c r="G839" t="str">
        <f>IF(A839="","",COUNTIFS($A$2:$A$1000,A839,$B$2:$B$1000,"&lt;"&amp;B839)+COUNTIFS($A$2:A839,A839,$B$2:B839,B839))</f>
        <v/>
      </c>
      <c r="H839" t="str">
        <f t="shared" si="13"/>
        <v/>
      </c>
    </row>
    <row r="840" spans="1:8">
      <c r="A840" s="25" t="str">
        <f>IF('Clockify Raw'!J840="","",'Clockify Raw'!J840)</f>
        <v/>
      </c>
      <c r="B840" s="23" t="str">
        <f>IF('Clockify Raw'!K840="","",VALUE('Clockify Raw'!K840))</f>
        <v/>
      </c>
      <c r="C840" s="23" t="str">
        <f>IF('Clockify Raw'!M840="","",VALUE('Clockify Raw'!M840))</f>
        <v/>
      </c>
      <c r="D840" t="str">
        <f>IF('Clockify Raw'!A840="","",IF(LOWER('Clockify Raw'!A840)="break","Break","Work"))</f>
        <v/>
      </c>
      <c r="E840" t="str">
        <f>IF('Clockify Raw'!A840="","",IF(LOWER('Clockify Raw'!A840)="break","Break",IF('Clockify Raw'!C840&lt;&gt;"",'Clockify Raw'!C840,IF('Clockify Raw'!D840&lt;&gt;"",'Clockify Raw'!D840,'Clockify Raw'!A840))))</f>
        <v/>
      </c>
      <c r="F840" s="24" t="str">
        <f>IF('Clockify Raw'!O840="","",'Clockify Raw'!O840/24)</f>
        <v/>
      </c>
      <c r="G840" t="str">
        <f>IF(A840="","",COUNTIFS($A$2:$A$1000,A840,$B$2:$B$1000,"&lt;"&amp;B840)+COUNTIFS($A$2:A840,A840,$B$2:B840,B840))</f>
        <v/>
      </c>
      <c r="H840" t="str">
        <f t="shared" si="13"/>
        <v/>
      </c>
    </row>
    <row r="841" spans="1:8">
      <c r="A841" s="25" t="str">
        <f>IF('Clockify Raw'!J841="","",'Clockify Raw'!J841)</f>
        <v/>
      </c>
      <c r="B841" s="23" t="str">
        <f>IF('Clockify Raw'!K841="","",VALUE('Clockify Raw'!K841))</f>
        <v/>
      </c>
      <c r="C841" s="23" t="str">
        <f>IF('Clockify Raw'!M841="","",VALUE('Clockify Raw'!M841))</f>
        <v/>
      </c>
      <c r="D841" t="str">
        <f>IF('Clockify Raw'!A841="","",IF(LOWER('Clockify Raw'!A841)="break","Break","Work"))</f>
        <v/>
      </c>
      <c r="E841" t="str">
        <f>IF('Clockify Raw'!A841="","",IF(LOWER('Clockify Raw'!A841)="break","Break",IF('Clockify Raw'!C841&lt;&gt;"",'Clockify Raw'!C841,IF('Clockify Raw'!D841&lt;&gt;"",'Clockify Raw'!D841,'Clockify Raw'!A841))))</f>
        <v/>
      </c>
      <c r="F841" s="24" t="str">
        <f>IF('Clockify Raw'!O841="","",'Clockify Raw'!O841/24)</f>
        <v/>
      </c>
      <c r="G841" t="str">
        <f>IF(A841="","",COUNTIFS($A$2:$A$1000,A841,$B$2:$B$1000,"&lt;"&amp;B841)+COUNTIFS($A$2:A841,A841,$B$2:B841,B841))</f>
        <v/>
      </c>
      <c r="H841" t="str">
        <f t="shared" si="13"/>
        <v/>
      </c>
    </row>
    <row r="842" spans="1:8">
      <c r="A842" s="25" t="str">
        <f>IF('Clockify Raw'!J842="","",'Clockify Raw'!J842)</f>
        <v/>
      </c>
      <c r="B842" s="23" t="str">
        <f>IF('Clockify Raw'!K842="","",VALUE('Clockify Raw'!K842))</f>
        <v/>
      </c>
      <c r="C842" s="23" t="str">
        <f>IF('Clockify Raw'!M842="","",VALUE('Clockify Raw'!M842))</f>
        <v/>
      </c>
      <c r="D842" t="str">
        <f>IF('Clockify Raw'!A842="","",IF(LOWER('Clockify Raw'!A842)="break","Break","Work"))</f>
        <v/>
      </c>
      <c r="E842" t="str">
        <f>IF('Clockify Raw'!A842="","",IF(LOWER('Clockify Raw'!A842)="break","Break",IF('Clockify Raw'!C842&lt;&gt;"",'Clockify Raw'!C842,IF('Clockify Raw'!D842&lt;&gt;"",'Clockify Raw'!D842,'Clockify Raw'!A842))))</f>
        <v/>
      </c>
      <c r="F842" s="24" t="str">
        <f>IF('Clockify Raw'!O842="","",'Clockify Raw'!O842/24)</f>
        <v/>
      </c>
      <c r="G842" t="str">
        <f>IF(A842="","",COUNTIFS($A$2:$A$1000,A842,$B$2:$B$1000,"&lt;"&amp;B842)+COUNTIFS($A$2:A842,A842,$B$2:B842,B842))</f>
        <v/>
      </c>
      <c r="H842" t="str">
        <f t="shared" si="13"/>
        <v/>
      </c>
    </row>
    <row r="843" spans="1:8">
      <c r="A843" s="25" t="str">
        <f>IF('Clockify Raw'!J843="","",'Clockify Raw'!J843)</f>
        <v/>
      </c>
      <c r="B843" s="23" t="str">
        <f>IF('Clockify Raw'!K843="","",VALUE('Clockify Raw'!K843))</f>
        <v/>
      </c>
      <c r="C843" s="23" t="str">
        <f>IF('Clockify Raw'!M843="","",VALUE('Clockify Raw'!M843))</f>
        <v/>
      </c>
      <c r="D843" t="str">
        <f>IF('Clockify Raw'!A843="","",IF(LOWER('Clockify Raw'!A843)="break","Break","Work"))</f>
        <v/>
      </c>
      <c r="E843" t="str">
        <f>IF('Clockify Raw'!A843="","",IF(LOWER('Clockify Raw'!A843)="break","Break",IF('Clockify Raw'!C843&lt;&gt;"",'Clockify Raw'!C843,IF('Clockify Raw'!D843&lt;&gt;"",'Clockify Raw'!D843,'Clockify Raw'!A843))))</f>
        <v/>
      </c>
      <c r="F843" s="24" t="str">
        <f>IF('Clockify Raw'!O843="","",'Clockify Raw'!O843/24)</f>
        <v/>
      </c>
      <c r="G843" t="str">
        <f>IF(A843="","",COUNTIFS($A$2:$A$1000,A843,$B$2:$B$1000,"&lt;"&amp;B843)+COUNTIFS($A$2:A843,A843,$B$2:B843,B843))</f>
        <v/>
      </c>
      <c r="H843" t="str">
        <f t="shared" si="13"/>
        <v/>
      </c>
    </row>
    <row r="844" spans="1:8">
      <c r="A844" s="25" t="str">
        <f>IF('Clockify Raw'!J844="","",'Clockify Raw'!J844)</f>
        <v/>
      </c>
      <c r="B844" s="23" t="str">
        <f>IF('Clockify Raw'!K844="","",VALUE('Clockify Raw'!K844))</f>
        <v/>
      </c>
      <c r="C844" s="23" t="str">
        <f>IF('Clockify Raw'!M844="","",VALUE('Clockify Raw'!M844))</f>
        <v/>
      </c>
      <c r="D844" t="str">
        <f>IF('Clockify Raw'!A844="","",IF(LOWER('Clockify Raw'!A844)="break","Break","Work"))</f>
        <v/>
      </c>
      <c r="E844" t="str">
        <f>IF('Clockify Raw'!A844="","",IF(LOWER('Clockify Raw'!A844)="break","Break",IF('Clockify Raw'!C844&lt;&gt;"",'Clockify Raw'!C844,IF('Clockify Raw'!D844&lt;&gt;"",'Clockify Raw'!D844,'Clockify Raw'!A844))))</f>
        <v/>
      </c>
      <c r="F844" s="24" t="str">
        <f>IF('Clockify Raw'!O844="","",'Clockify Raw'!O844/24)</f>
        <v/>
      </c>
      <c r="G844" t="str">
        <f>IF(A844="","",COUNTIFS($A$2:$A$1000,A844,$B$2:$B$1000,"&lt;"&amp;B844)+COUNTIFS($A$2:A844,A844,$B$2:B844,B844))</f>
        <v/>
      </c>
      <c r="H844" t="str">
        <f t="shared" si="13"/>
        <v/>
      </c>
    </row>
    <row r="845" spans="1:8">
      <c r="A845" s="25" t="str">
        <f>IF('Clockify Raw'!J845="","",'Clockify Raw'!J845)</f>
        <v/>
      </c>
      <c r="B845" s="23" t="str">
        <f>IF('Clockify Raw'!K845="","",VALUE('Clockify Raw'!K845))</f>
        <v/>
      </c>
      <c r="C845" s="23" t="str">
        <f>IF('Clockify Raw'!M845="","",VALUE('Clockify Raw'!M845))</f>
        <v/>
      </c>
      <c r="D845" t="str">
        <f>IF('Clockify Raw'!A845="","",IF(LOWER('Clockify Raw'!A845)="break","Break","Work"))</f>
        <v/>
      </c>
      <c r="E845" t="str">
        <f>IF('Clockify Raw'!A845="","",IF(LOWER('Clockify Raw'!A845)="break","Break",IF('Clockify Raw'!C845&lt;&gt;"",'Clockify Raw'!C845,IF('Clockify Raw'!D845&lt;&gt;"",'Clockify Raw'!D845,'Clockify Raw'!A845))))</f>
        <v/>
      </c>
      <c r="F845" s="24" t="str">
        <f>IF('Clockify Raw'!O845="","",'Clockify Raw'!O845/24)</f>
        <v/>
      </c>
      <c r="G845" t="str">
        <f>IF(A845="","",COUNTIFS($A$2:$A$1000,A845,$B$2:$B$1000,"&lt;"&amp;B845)+COUNTIFS($A$2:A845,A845,$B$2:B845,B845))</f>
        <v/>
      </c>
      <c r="H845" t="str">
        <f t="shared" si="13"/>
        <v/>
      </c>
    </row>
    <row r="846" spans="1:8">
      <c r="A846" s="25" t="str">
        <f>IF('Clockify Raw'!J846="","",'Clockify Raw'!J846)</f>
        <v/>
      </c>
      <c r="B846" s="23" t="str">
        <f>IF('Clockify Raw'!K846="","",VALUE('Clockify Raw'!K846))</f>
        <v/>
      </c>
      <c r="C846" s="23" t="str">
        <f>IF('Clockify Raw'!M846="","",VALUE('Clockify Raw'!M846))</f>
        <v/>
      </c>
      <c r="D846" t="str">
        <f>IF('Clockify Raw'!A846="","",IF(LOWER('Clockify Raw'!A846)="break","Break","Work"))</f>
        <v/>
      </c>
      <c r="E846" t="str">
        <f>IF('Clockify Raw'!A846="","",IF(LOWER('Clockify Raw'!A846)="break","Break",IF('Clockify Raw'!C846&lt;&gt;"",'Clockify Raw'!C846,IF('Clockify Raw'!D846&lt;&gt;"",'Clockify Raw'!D846,'Clockify Raw'!A846))))</f>
        <v/>
      </c>
      <c r="F846" s="24" t="str">
        <f>IF('Clockify Raw'!O846="","",'Clockify Raw'!O846/24)</f>
        <v/>
      </c>
      <c r="G846" t="str">
        <f>IF(A846="","",COUNTIFS($A$2:$A$1000,A846,$B$2:$B$1000,"&lt;"&amp;B846)+COUNTIFS($A$2:A846,A846,$B$2:B846,B846))</f>
        <v/>
      </c>
      <c r="H846" t="str">
        <f t="shared" si="13"/>
        <v/>
      </c>
    </row>
    <row r="847" spans="1:8">
      <c r="A847" s="25" t="str">
        <f>IF('Clockify Raw'!J847="","",'Clockify Raw'!J847)</f>
        <v/>
      </c>
      <c r="B847" s="23" t="str">
        <f>IF('Clockify Raw'!K847="","",VALUE('Clockify Raw'!K847))</f>
        <v/>
      </c>
      <c r="C847" s="23" t="str">
        <f>IF('Clockify Raw'!M847="","",VALUE('Clockify Raw'!M847))</f>
        <v/>
      </c>
      <c r="D847" t="str">
        <f>IF('Clockify Raw'!A847="","",IF(LOWER('Clockify Raw'!A847)="break","Break","Work"))</f>
        <v/>
      </c>
      <c r="E847" t="str">
        <f>IF('Clockify Raw'!A847="","",IF(LOWER('Clockify Raw'!A847)="break","Break",IF('Clockify Raw'!C847&lt;&gt;"",'Clockify Raw'!C847,IF('Clockify Raw'!D847&lt;&gt;"",'Clockify Raw'!D847,'Clockify Raw'!A847))))</f>
        <v/>
      </c>
      <c r="F847" s="24" t="str">
        <f>IF('Clockify Raw'!O847="","",'Clockify Raw'!O847/24)</f>
        <v/>
      </c>
      <c r="G847" t="str">
        <f>IF(A847="","",COUNTIFS($A$2:$A$1000,A847,$B$2:$B$1000,"&lt;"&amp;B847)+COUNTIFS($A$2:A847,A847,$B$2:B847,B847))</f>
        <v/>
      </c>
      <c r="H847" t="str">
        <f t="shared" si="13"/>
        <v/>
      </c>
    </row>
    <row r="848" spans="1:8">
      <c r="A848" s="25" t="str">
        <f>IF('Clockify Raw'!J848="","",'Clockify Raw'!J848)</f>
        <v/>
      </c>
      <c r="B848" s="23" t="str">
        <f>IF('Clockify Raw'!K848="","",VALUE('Clockify Raw'!K848))</f>
        <v/>
      </c>
      <c r="C848" s="23" t="str">
        <f>IF('Clockify Raw'!M848="","",VALUE('Clockify Raw'!M848))</f>
        <v/>
      </c>
      <c r="D848" t="str">
        <f>IF('Clockify Raw'!A848="","",IF(LOWER('Clockify Raw'!A848)="break","Break","Work"))</f>
        <v/>
      </c>
      <c r="E848" t="str">
        <f>IF('Clockify Raw'!A848="","",IF(LOWER('Clockify Raw'!A848)="break","Break",IF('Clockify Raw'!C848&lt;&gt;"",'Clockify Raw'!C848,IF('Clockify Raw'!D848&lt;&gt;"",'Clockify Raw'!D848,'Clockify Raw'!A848))))</f>
        <v/>
      </c>
      <c r="F848" s="24" t="str">
        <f>IF('Clockify Raw'!O848="","",'Clockify Raw'!O848/24)</f>
        <v/>
      </c>
      <c r="G848" t="str">
        <f>IF(A848="","",COUNTIFS($A$2:$A$1000,A848,$B$2:$B$1000,"&lt;"&amp;B848)+COUNTIFS($A$2:A848,A848,$B$2:B848,B848))</f>
        <v/>
      </c>
      <c r="H848" t="str">
        <f t="shared" si="13"/>
        <v/>
      </c>
    </row>
    <row r="849" spans="1:8">
      <c r="A849" s="25" t="str">
        <f>IF('Clockify Raw'!J849="","",'Clockify Raw'!J849)</f>
        <v/>
      </c>
      <c r="B849" s="23" t="str">
        <f>IF('Clockify Raw'!K849="","",VALUE('Clockify Raw'!K849))</f>
        <v/>
      </c>
      <c r="C849" s="23" t="str">
        <f>IF('Clockify Raw'!M849="","",VALUE('Clockify Raw'!M849))</f>
        <v/>
      </c>
      <c r="D849" t="str">
        <f>IF('Clockify Raw'!A849="","",IF(LOWER('Clockify Raw'!A849)="break","Break","Work"))</f>
        <v/>
      </c>
      <c r="E849" t="str">
        <f>IF('Clockify Raw'!A849="","",IF(LOWER('Clockify Raw'!A849)="break","Break",IF('Clockify Raw'!C849&lt;&gt;"",'Clockify Raw'!C849,IF('Clockify Raw'!D849&lt;&gt;"",'Clockify Raw'!D849,'Clockify Raw'!A849))))</f>
        <v/>
      </c>
      <c r="F849" s="24" t="str">
        <f>IF('Clockify Raw'!O849="","",'Clockify Raw'!O849/24)</f>
        <v/>
      </c>
      <c r="G849" t="str">
        <f>IF(A849="","",COUNTIFS($A$2:$A$1000,A849,$B$2:$B$1000,"&lt;"&amp;B849)+COUNTIFS($A$2:A849,A849,$B$2:B849,B849))</f>
        <v/>
      </c>
      <c r="H849" t="str">
        <f t="shared" si="13"/>
        <v/>
      </c>
    </row>
    <row r="850" spans="1:8">
      <c r="A850" s="25" t="str">
        <f>IF('Clockify Raw'!J850="","",'Clockify Raw'!J850)</f>
        <v/>
      </c>
      <c r="B850" s="23" t="str">
        <f>IF('Clockify Raw'!K850="","",VALUE('Clockify Raw'!K850))</f>
        <v/>
      </c>
      <c r="C850" s="23" t="str">
        <f>IF('Clockify Raw'!M850="","",VALUE('Clockify Raw'!M850))</f>
        <v/>
      </c>
      <c r="D850" t="str">
        <f>IF('Clockify Raw'!A850="","",IF(LOWER('Clockify Raw'!A850)="break","Break","Work"))</f>
        <v/>
      </c>
      <c r="E850" t="str">
        <f>IF('Clockify Raw'!A850="","",IF(LOWER('Clockify Raw'!A850)="break","Break",IF('Clockify Raw'!C850&lt;&gt;"",'Clockify Raw'!C850,IF('Clockify Raw'!D850&lt;&gt;"",'Clockify Raw'!D850,'Clockify Raw'!A850))))</f>
        <v/>
      </c>
      <c r="F850" s="24" t="str">
        <f>IF('Clockify Raw'!O850="","",'Clockify Raw'!O850/24)</f>
        <v/>
      </c>
      <c r="G850" t="str">
        <f>IF(A850="","",COUNTIFS($A$2:$A$1000,A850,$B$2:$B$1000,"&lt;"&amp;B850)+COUNTIFS($A$2:A850,A850,$B$2:B850,B850))</f>
        <v/>
      </c>
      <c r="H850" t="str">
        <f t="shared" si="13"/>
        <v/>
      </c>
    </row>
    <row r="851" spans="1:8">
      <c r="A851" s="25" t="str">
        <f>IF('Clockify Raw'!J851="","",'Clockify Raw'!J851)</f>
        <v/>
      </c>
      <c r="B851" s="23" t="str">
        <f>IF('Clockify Raw'!K851="","",VALUE('Clockify Raw'!K851))</f>
        <v/>
      </c>
      <c r="C851" s="23" t="str">
        <f>IF('Clockify Raw'!M851="","",VALUE('Clockify Raw'!M851))</f>
        <v/>
      </c>
      <c r="D851" t="str">
        <f>IF('Clockify Raw'!A851="","",IF(LOWER('Clockify Raw'!A851)="break","Break","Work"))</f>
        <v/>
      </c>
      <c r="E851" t="str">
        <f>IF('Clockify Raw'!A851="","",IF(LOWER('Clockify Raw'!A851)="break","Break",IF('Clockify Raw'!C851&lt;&gt;"",'Clockify Raw'!C851,IF('Clockify Raw'!D851&lt;&gt;"",'Clockify Raw'!D851,'Clockify Raw'!A851))))</f>
        <v/>
      </c>
      <c r="F851" s="24" t="str">
        <f>IF('Clockify Raw'!O851="","",'Clockify Raw'!O851/24)</f>
        <v/>
      </c>
      <c r="G851" t="str">
        <f>IF(A851="","",COUNTIFS($A$2:$A$1000,A851,$B$2:$B$1000,"&lt;"&amp;B851)+COUNTIFS($A$2:A851,A851,$B$2:B851,B851))</f>
        <v/>
      </c>
      <c r="H851" t="str">
        <f t="shared" si="13"/>
        <v/>
      </c>
    </row>
    <row r="852" spans="1:8">
      <c r="A852" s="25" t="str">
        <f>IF('Clockify Raw'!J852="","",'Clockify Raw'!J852)</f>
        <v/>
      </c>
      <c r="B852" s="23" t="str">
        <f>IF('Clockify Raw'!K852="","",VALUE('Clockify Raw'!K852))</f>
        <v/>
      </c>
      <c r="C852" s="23" t="str">
        <f>IF('Clockify Raw'!M852="","",VALUE('Clockify Raw'!M852))</f>
        <v/>
      </c>
      <c r="D852" t="str">
        <f>IF('Clockify Raw'!A852="","",IF(LOWER('Clockify Raw'!A852)="break","Break","Work"))</f>
        <v/>
      </c>
      <c r="E852" t="str">
        <f>IF('Clockify Raw'!A852="","",IF(LOWER('Clockify Raw'!A852)="break","Break",IF('Clockify Raw'!C852&lt;&gt;"",'Clockify Raw'!C852,IF('Clockify Raw'!D852&lt;&gt;"",'Clockify Raw'!D852,'Clockify Raw'!A852))))</f>
        <v/>
      </c>
      <c r="F852" s="24" t="str">
        <f>IF('Clockify Raw'!O852="","",'Clockify Raw'!O852/24)</f>
        <v/>
      </c>
      <c r="G852" t="str">
        <f>IF(A852="","",COUNTIFS($A$2:$A$1000,A852,$B$2:$B$1000,"&lt;"&amp;B852)+COUNTIFS($A$2:A852,A852,$B$2:B852,B852))</f>
        <v/>
      </c>
      <c r="H852" t="str">
        <f t="shared" si="13"/>
        <v/>
      </c>
    </row>
    <row r="853" spans="1:8">
      <c r="A853" s="25" t="str">
        <f>IF('Clockify Raw'!J853="","",'Clockify Raw'!J853)</f>
        <v/>
      </c>
      <c r="B853" s="23" t="str">
        <f>IF('Clockify Raw'!K853="","",VALUE('Clockify Raw'!K853))</f>
        <v/>
      </c>
      <c r="C853" s="23" t="str">
        <f>IF('Clockify Raw'!M853="","",VALUE('Clockify Raw'!M853))</f>
        <v/>
      </c>
      <c r="D853" t="str">
        <f>IF('Clockify Raw'!A853="","",IF(LOWER('Clockify Raw'!A853)="break","Break","Work"))</f>
        <v/>
      </c>
      <c r="E853" t="str">
        <f>IF('Clockify Raw'!A853="","",IF(LOWER('Clockify Raw'!A853)="break","Break",IF('Clockify Raw'!C853&lt;&gt;"",'Clockify Raw'!C853,IF('Clockify Raw'!D853&lt;&gt;"",'Clockify Raw'!D853,'Clockify Raw'!A853))))</f>
        <v/>
      </c>
      <c r="F853" s="24" t="str">
        <f>IF('Clockify Raw'!O853="","",'Clockify Raw'!O853/24)</f>
        <v/>
      </c>
      <c r="G853" t="str">
        <f>IF(A853="","",COUNTIFS($A$2:$A$1000,A853,$B$2:$B$1000,"&lt;"&amp;B853)+COUNTIFS($A$2:A853,A853,$B$2:B853,B853))</f>
        <v/>
      </c>
      <c r="H853" t="str">
        <f t="shared" si="13"/>
        <v/>
      </c>
    </row>
    <row r="854" spans="1:8">
      <c r="A854" s="25" t="str">
        <f>IF('Clockify Raw'!J854="","",'Clockify Raw'!J854)</f>
        <v/>
      </c>
      <c r="B854" s="23" t="str">
        <f>IF('Clockify Raw'!K854="","",VALUE('Clockify Raw'!K854))</f>
        <v/>
      </c>
      <c r="C854" s="23" t="str">
        <f>IF('Clockify Raw'!M854="","",VALUE('Clockify Raw'!M854))</f>
        <v/>
      </c>
      <c r="D854" t="str">
        <f>IF('Clockify Raw'!A854="","",IF(LOWER('Clockify Raw'!A854)="break","Break","Work"))</f>
        <v/>
      </c>
      <c r="E854" t="str">
        <f>IF('Clockify Raw'!A854="","",IF(LOWER('Clockify Raw'!A854)="break","Break",IF('Clockify Raw'!C854&lt;&gt;"",'Clockify Raw'!C854,IF('Clockify Raw'!D854&lt;&gt;"",'Clockify Raw'!D854,'Clockify Raw'!A854))))</f>
        <v/>
      </c>
      <c r="F854" s="24" t="str">
        <f>IF('Clockify Raw'!O854="","",'Clockify Raw'!O854/24)</f>
        <v/>
      </c>
      <c r="G854" t="str">
        <f>IF(A854="","",COUNTIFS($A$2:$A$1000,A854,$B$2:$B$1000,"&lt;"&amp;B854)+COUNTIFS($A$2:A854,A854,$B$2:B854,B854))</f>
        <v/>
      </c>
      <c r="H854" t="str">
        <f t="shared" si="13"/>
        <v/>
      </c>
    </row>
    <row r="855" spans="1:8">
      <c r="A855" s="25" t="str">
        <f>IF('Clockify Raw'!J855="","",'Clockify Raw'!J855)</f>
        <v/>
      </c>
      <c r="B855" s="23" t="str">
        <f>IF('Clockify Raw'!K855="","",VALUE('Clockify Raw'!K855))</f>
        <v/>
      </c>
      <c r="C855" s="23" t="str">
        <f>IF('Clockify Raw'!M855="","",VALUE('Clockify Raw'!M855))</f>
        <v/>
      </c>
      <c r="D855" t="str">
        <f>IF('Clockify Raw'!A855="","",IF(LOWER('Clockify Raw'!A855)="break","Break","Work"))</f>
        <v/>
      </c>
      <c r="E855" t="str">
        <f>IF('Clockify Raw'!A855="","",IF(LOWER('Clockify Raw'!A855)="break","Break",IF('Clockify Raw'!C855&lt;&gt;"",'Clockify Raw'!C855,IF('Clockify Raw'!D855&lt;&gt;"",'Clockify Raw'!D855,'Clockify Raw'!A855))))</f>
        <v/>
      </c>
      <c r="F855" s="24" t="str">
        <f>IF('Clockify Raw'!O855="","",'Clockify Raw'!O855/24)</f>
        <v/>
      </c>
      <c r="G855" t="str">
        <f>IF(A855="","",COUNTIFS($A$2:$A$1000,A855,$B$2:$B$1000,"&lt;"&amp;B855)+COUNTIFS($A$2:A855,A855,$B$2:B855,B855))</f>
        <v/>
      </c>
      <c r="H855" t="str">
        <f t="shared" si="13"/>
        <v/>
      </c>
    </row>
    <row r="856" spans="1:8">
      <c r="A856" s="25" t="str">
        <f>IF('Clockify Raw'!J856="","",'Clockify Raw'!J856)</f>
        <v/>
      </c>
      <c r="B856" s="23" t="str">
        <f>IF('Clockify Raw'!K856="","",VALUE('Clockify Raw'!K856))</f>
        <v/>
      </c>
      <c r="C856" s="23" t="str">
        <f>IF('Clockify Raw'!M856="","",VALUE('Clockify Raw'!M856))</f>
        <v/>
      </c>
      <c r="D856" t="str">
        <f>IF('Clockify Raw'!A856="","",IF(LOWER('Clockify Raw'!A856)="break","Break","Work"))</f>
        <v/>
      </c>
      <c r="E856" t="str">
        <f>IF('Clockify Raw'!A856="","",IF(LOWER('Clockify Raw'!A856)="break","Break",IF('Clockify Raw'!C856&lt;&gt;"",'Clockify Raw'!C856,IF('Clockify Raw'!D856&lt;&gt;"",'Clockify Raw'!D856,'Clockify Raw'!A856))))</f>
        <v/>
      </c>
      <c r="F856" s="24" t="str">
        <f>IF('Clockify Raw'!O856="","",'Clockify Raw'!O856/24)</f>
        <v/>
      </c>
      <c r="G856" t="str">
        <f>IF(A856="","",COUNTIFS($A$2:$A$1000,A856,$B$2:$B$1000,"&lt;"&amp;B856)+COUNTIFS($A$2:A856,A856,$B$2:B856,B856))</f>
        <v/>
      </c>
      <c r="H856" t="str">
        <f t="shared" si="13"/>
        <v/>
      </c>
    </row>
    <row r="857" spans="1:8">
      <c r="A857" s="25" t="str">
        <f>IF('Clockify Raw'!J857="","",'Clockify Raw'!J857)</f>
        <v/>
      </c>
      <c r="B857" s="23" t="str">
        <f>IF('Clockify Raw'!K857="","",VALUE('Clockify Raw'!K857))</f>
        <v/>
      </c>
      <c r="C857" s="23" t="str">
        <f>IF('Clockify Raw'!M857="","",VALUE('Clockify Raw'!M857))</f>
        <v/>
      </c>
      <c r="D857" t="str">
        <f>IF('Clockify Raw'!A857="","",IF(LOWER('Clockify Raw'!A857)="break","Break","Work"))</f>
        <v/>
      </c>
      <c r="E857" t="str">
        <f>IF('Clockify Raw'!A857="","",IF(LOWER('Clockify Raw'!A857)="break","Break",IF('Clockify Raw'!C857&lt;&gt;"",'Clockify Raw'!C857,IF('Clockify Raw'!D857&lt;&gt;"",'Clockify Raw'!D857,'Clockify Raw'!A857))))</f>
        <v/>
      </c>
      <c r="F857" s="24" t="str">
        <f>IF('Clockify Raw'!O857="","",'Clockify Raw'!O857/24)</f>
        <v/>
      </c>
      <c r="G857" t="str">
        <f>IF(A857="","",COUNTIFS($A$2:$A$1000,A857,$B$2:$B$1000,"&lt;"&amp;B857)+COUNTIFS($A$2:A857,A857,$B$2:B857,B857))</f>
        <v/>
      </c>
      <c r="H857" t="str">
        <f t="shared" si="13"/>
        <v/>
      </c>
    </row>
    <row r="858" spans="1:8">
      <c r="A858" s="25" t="str">
        <f>IF('Clockify Raw'!J858="","",'Clockify Raw'!J858)</f>
        <v/>
      </c>
      <c r="B858" s="23" t="str">
        <f>IF('Clockify Raw'!K858="","",VALUE('Clockify Raw'!K858))</f>
        <v/>
      </c>
      <c r="C858" s="23" t="str">
        <f>IF('Clockify Raw'!M858="","",VALUE('Clockify Raw'!M858))</f>
        <v/>
      </c>
      <c r="D858" t="str">
        <f>IF('Clockify Raw'!A858="","",IF(LOWER('Clockify Raw'!A858)="break","Break","Work"))</f>
        <v/>
      </c>
      <c r="E858" t="str">
        <f>IF('Clockify Raw'!A858="","",IF(LOWER('Clockify Raw'!A858)="break","Break",IF('Clockify Raw'!C858&lt;&gt;"",'Clockify Raw'!C858,IF('Clockify Raw'!D858&lt;&gt;"",'Clockify Raw'!D858,'Clockify Raw'!A858))))</f>
        <v/>
      </c>
      <c r="F858" s="24" t="str">
        <f>IF('Clockify Raw'!O858="","",'Clockify Raw'!O858/24)</f>
        <v/>
      </c>
      <c r="G858" t="str">
        <f>IF(A858="","",COUNTIFS($A$2:$A$1000,A858,$B$2:$B$1000,"&lt;"&amp;B858)+COUNTIFS($A$2:A858,A858,$B$2:B858,B858))</f>
        <v/>
      </c>
      <c r="H858" t="str">
        <f t="shared" si="13"/>
        <v/>
      </c>
    </row>
    <row r="859" spans="1:8">
      <c r="A859" s="25" t="str">
        <f>IF('Clockify Raw'!J859="","",'Clockify Raw'!J859)</f>
        <v/>
      </c>
      <c r="B859" s="23" t="str">
        <f>IF('Clockify Raw'!K859="","",VALUE('Clockify Raw'!K859))</f>
        <v/>
      </c>
      <c r="C859" s="23" t="str">
        <f>IF('Clockify Raw'!M859="","",VALUE('Clockify Raw'!M859))</f>
        <v/>
      </c>
      <c r="D859" t="str">
        <f>IF('Clockify Raw'!A859="","",IF(LOWER('Clockify Raw'!A859)="break","Break","Work"))</f>
        <v/>
      </c>
      <c r="E859" t="str">
        <f>IF('Clockify Raw'!A859="","",IF(LOWER('Clockify Raw'!A859)="break","Break",IF('Clockify Raw'!C859&lt;&gt;"",'Clockify Raw'!C859,IF('Clockify Raw'!D859&lt;&gt;"",'Clockify Raw'!D859,'Clockify Raw'!A859))))</f>
        <v/>
      </c>
      <c r="F859" s="24" t="str">
        <f>IF('Clockify Raw'!O859="","",'Clockify Raw'!O859/24)</f>
        <v/>
      </c>
      <c r="G859" t="str">
        <f>IF(A859="","",COUNTIFS($A$2:$A$1000,A859,$B$2:$B$1000,"&lt;"&amp;B859)+COUNTIFS($A$2:A859,A859,$B$2:B859,B859))</f>
        <v/>
      </c>
      <c r="H859" t="str">
        <f t="shared" si="13"/>
        <v/>
      </c>
    </row>
    <row r="860" spans="1:8">
      <c r="A860" s="25" t="str">
        <f>IF('Clockify Raw'!J860="","",'Clockify Raw'!J860)</f>
        <v/>
      </c>
      <c r="B860" s="23" t="str">
        <f>IF('Clockify Raw'!K860="","",VALUE('Clockify Raw'!K860))</f>
        <v/>
      </c>
      <c r="C860" s="23" t="str">
        <f>IF('Clockify Raw'!M860="","",VALUE('Clockify Raw'!M860))</f>
        <v/>
      </c>
      <c r="D860" t="str">
        <f>IF('Clockify Raw'!A860="","",IF(LOWER('Clockify Raw'!A860)="break","Break","Work"))</f>
        <v/>
      </c>
      <c r="E860" t="str">
        <f>IF('Clockify Raw'!A860="","",IF(LOWER('Clockify Raw'!A860)="break","Break",IF('Clockify Raw'!C860&lt;&gt;"",'Clockify Raw'!C860,IF('Clockify Raw'!D860&lt;&gt;"",'Clockify Raw'!D860,'Clockify Raw'!A860))))</f>
        <v/>
      </c>
      <c r="F860" s="24" t="str">
        <f>IF('Clockify Raw'!O860="","",'Clockify Raw'!O860/24)</f>
        <v/>
      </c>
      <c r="G860" t="str">
        <f>IF(A860="","",COUNTIFS($A$2:$A$1000,A860,$B$2:$B$1000,"&lt;"&amp;B860)+COUNTIFS($A$2:A860,A860,$B$2:B860,B860))</f>
        <v/>
      </c>
      <c r="H860" t="str">
        <f t="shared" si="13"/>
        <v/>
      </c>
    </row>
    <row r="861" spans="1:8">
      <c r="A861" s="25" t="str">
        <f>IF('Clockify Raw'!J861="","",'Clockify Raw'!J861)</f>
        <v/>
      </c>
      <c r="B861" s="23" t="str">
        <f>IF('Clockify Raw'!K861="","",VALUE('Clockify Raw'!K861))</f>
        <v/>
      </c>
      <c r="C861" s="23" t="str">
        <f>IF('Clockify Raw'!M861="","",VALUE('Clockify Raw'!M861))</f>
        <v/>
      </c>
      <c r="D861" t="str">
        <f>IF('Clockify Raw'!A861="","",IF(LOWER('Clockify Raw'!A861)="break","Break","Work"))</f>
        <v/>
      </c>
      <c r="E861" t="str">
        <f>IF('Clockify Raw'!A861="","",IF(LOWER('Clockify Raw'!A861)="break","Break",IF('Clockify Raw'!C861&lt;&gt;"",'Clockify Raw'!C861,IF('Clockify Raw'!D861&lt;&gt;"",'Clockify Raw'!D861,'Clockify Raw'!A861))))</f>
        <v/>
      </c>
      <c r="F861" s="24" t="str">
        <f>IF('Clockify Raw'!O861="","",'Clockify Raw'!O861/24)</f>
        <v/>
      </c>
      <c r="G861" t="str">
        <f>IF(A861="","",COUNTIFS($A$2:$A$1000,A861,$B$2:$B$1000,"&lt;"&amp;B861)+COUNTIFS($A$2:A861,A861,$B$2:B861,B861))</f>
        <v/>
      </c>
      <c r="H861" t="str">
        <f t="shared" si="13"/>
        <v/>
      </c>
    </row>
    <row r="862" spans="1:8">
      <c r="A862" s="25" t="str">
        <f>IF('Clockify Raw'!J862="","",'Clockify Raw'!J862)</f>
        <v/>
      </c>
      <c r="B862" s="23" t="str">
        <f>IF('Clockify Raw'!K862="","",VALUE('Clockify Raw'!K862))</f>
        <v/>
      </c>
      <c r="C862" s="23" t="str">
        <f>IF('Clockify Raw'!M862="","",VALUE('Clockify Raw'!M862))</f>
        <v/>
      </c>
      <c r="D862" t="str">
        <f>IF('Clockify Raw'!A862="","",IF(LOWER('Clockify Raw'!A862)="break","Break","Work"))</f>
        <v/>
      </c>
      <c r="E862" t="str">
        <f>IF('Clockify Raw'!A862="","",IF(LOWER('Clockify Raw'!A862)="break","Break",IF('Clockify Raw'!C862&lt;&gt;"",'Clockify Raw'!C862,IF('Clockify Raw'!D862&lt;&gt;"",'Clockify Raw'!D862,'Clockify Raw'!A862))))</f>
        <v/>
      </c>
      <c r="F862" s="24" t="str">
        <f>IF('Clockify Raw'!O862="","",'Clockify Raw'!O862/24)</f>
        <v/>
      </c>
      <c r="G862" t="str">
        <f>IF(A862="","",COUNTIFS($A$2:$A$1000,A862,$B$2:$B$1000,"&lt;"&amp;B862)+COUNTIFS($A$2:A862,A862,$B$2:B862,B862))</f>
        <v/>
      </c>
      <c r="H862" t="str">
        <f t="shared" si="13"/>
        <v/>
      </c>
    </row>
    <row r="863" spans="1:8">
      <c r="A863" s="25" t="str">
        <f>IF('Clockify Raw'!J863="","",'Clockify Raw'!J863)</f>
        <v/>
      </c>
      <c r="B863" s="23" t="str">
        <f>IF('Clockify Raw'!K863="","",VALUE('Clockify Raw'!K863))</f>
        <v/>
      </c>
      <c r="C863" s="23" t="str">
        <f>IF('Clockify Raw'!M863="","",VALUE('Clockify Raw'!M863))</f>
        <v/>
      </c>
      <c r="D863" t="str">
        <f>IF('Clockify Raw'!A863="","",IF(LOWER('Clockify Raw'!A863)="break","Break","Work"))</f>
        <v/>
      </c>
      <c r="E863" t="str">
        <f>IF('Clockify Raw'!A863="","",IF(LOWER('Clockify Raw'!A863)="break","Break",IF('Clockify Raw'!C863&lt;&gt;"",'Clockify Raw'!C863,IF('Clockify Raw'!D863&lt;&gt;"",'Clockify Raw'!D863,'Clockify Raw'!A863))))</f>
        <v/>
      </c>
      <c r="F863" s="24" t="str">
        <f>IF('Clockify Raw'!O863="","",'Clockify Raw'!O863/24)</f>
        <v/>
      </c>
      <c r="G863" t="str">
        <f>IF(A863="","",COUNTIFS($A$2:$A$1000,A863,$B$2:$B$1000,"&lt;"&amp;B863)+COUNTIFS($A$2:A863,A863,$B$2:B863,B863))</f>
        <v/>
      </c>
      <c r="H863" t="str">
        <f t="shared" si="13"/>
        <v/>
      </c>
    </row>
    <row r="864" spans="1:8">
      <c r="A864" s="25" t="str">
        <f>IF('Clockify Raw'!J864="","",'Clockify Raw'!J864)</f>
        <v/>
      </c>
      <c r="B864" s="23" t="str">
        <f>IF('Clockify Raw'!K864="","",VALUE('Clockify Raw'!K864))</f>
        <v/>
      </c>
      <c r="C864" s="23" t="str">
        <f>IF('Clockify Raw'!M864="","",VALUE('Clockify Raw'!M864))</f>
        <v/>
      </c>
      <c r="D864" t="str">
        <f>IF('Clockify Raw'!A864="","",IF(LOWER('Clockify Raw'!A864)="break","Break","Work"))</f>
        <v/>
      </c>
      <c r="E864" t="str">
        <f>IF('Clockify Raw'!A864="","",IF(LOWER('Clockify Raw'!A864)="break","Break",IF('Clockify Raw'!C864&lt;&gt;"",'Clockify Raw'!C864,IF('Clockify Raw'!D864&lt;&gt;"",'Clockify Raw'!D864,'Clockify Raw'!A864))))</f>
        <v/>
      </c>
      <c r="F864" s="24" t="str">
        <f>IF('Clockify Raw'!O864="","",'Clockify Raw'!O864/24)</f>
        <v/>
      </c>
      <c r="G864" t="str">
        <f>IF(A864="","",COUNTIFS($A$2:$A$1000,A864,$B$2:$B$1000,"&lt;"&amp;B864)+COUNTIFS($A$2:A864,A864,$B$2:B864,B864))</f>
        <v/>
      </c>
      <c r="H864" t="str">
        <f t="shared" si="13"/>
        <v/>
      </c>
    </row>
    <row r="865" spans="1:8">
      <c r="A865" s="25" t="str">
        <f>IF('Clockify Raw'!J865="","",'Clockify Raw'!J865)</f>
        <v/>
      </c>
      <c r="B865" s="23" t="str">
        <f>IF('Clockify Raw'!K865="","",VALUE('Clockify Raw'!K865))</f>
        <v/>
      </c>
      <c r="C865" s="23" t="str">
        <f>IF('Clockify Raw'!M865="","",VALUE('Clockify Raw'!M865))</f>
        <v/>
      </c>
      <c r="D865" t="str">
        <f>IF('Clockify Raw'!A865="","",IF(LOWER('Clockify Raw'!A865)="break","Break","Work"))</f>
        <v/>
      </c>
      <c r="E865" t="str">
        <f>IF('Clockify Raw'!A865="","",IF(LOWER('Clockify Raw'!A865)="break","Break",IF('Clockify Raw'!C865&lt;&gt;"",'Clockify Raw'!C865,IF('Clockify Raw'!D865&lt;&gt;"",'Clockify Raw'!D865,'Clockify Raw'!A865))))</f>
        <v/>
      </c>
      <c r="F865" s="24" t="str">
        <f>IF('Clockify Raw'!O865="","",'Clockify Raw'!O865/24)</f>
        <v/>
      </c>
      <c r="G865" t="str">
        <f>IF(A865="","",COUNTIFS($A$2:$A$1000,A865,$B$2:$B$1000,"&lt;"&amp;B865)+COUNTIFS($A$2:A865,A865,$B$2:B865,B865))</f>
        <v/>
      </c>
      <c r="H865" t="str">
        <f t="shared" si="13"/>
        <v/>
      </c>
    </row>
    <row r="866" spans="1:8">
      <c r="A866" s="25" t="str">
        <f>IF('Clockify Raw'!J866="","",'Clockify Raw'!J866)</f>
        <v/>
      </c>
      <c r="B866" s="23" t="str">
        <f>IF('Clockify Raw'!K866="","",VALUE('Clockify Raw'!K866))</f>
        <v/>
      </c>
      <c r="C866" s="23" t="str">
        <f>IF('Clockify Raw'!M866="","",VALUE('Clockify Raw'!M866))</f>
        <v/>
      </c>
      <c r="D866" t="str">
        <f>IF('Clockify Raw'!A866="","",IF(LOWER('Clockify Raw'!A866)="break","Break","Work"))</f>
        <v/>
      </c>
      <c r="E866" t="str">
        <f>IF('Clockify Raw'!A866="","",IF(LOWER('Clockify Raw'!A866)="break","Break",IF('Clockify Raw'!C866&lt;&gt;"",'Clockify Raw'!C866,IF('Clockify Raw'!D866&lt;&gt;"",'Clockify Raw'!D866,'Clockify Raw'!A866))))</f>
        <v/>
      </c>
      <c r="F866" s="24" t="str">
        <f>IF('Clockify Raw'!O866="","",'Clockify Raw'!O866/24)</f>
        <v/>
      </c>
      <c r="G866" t="str">
        <f>IF(A866="","",COUNTIFS($A$2:$A$1000,A866,$B$2:$B$1000,"&lt;"&amp;B866)+COUNTIFS($A$2:A866,A866,$B$2:B866,B866))</f>
        <v/>
      </c>
      <c r="H866" t="str">
        <f t="shared" si="13"/>
        <v/>
      </c>
    </row>
    <row r="867" spans="1:8">
      <c r="A867" s="25" t="str">
        <f>IF('Clockify Raw'!J867="","",'Clockify Raw'!J867)</f>
        <v/>
      </c>
      <c r="B867" s="23" t="str">
        <f>IF('Clockify Raw'!K867="","",VALUE('Clockify Raw'!K867))</f>
        <v/>
      </c>
      <c r="C867" s="23" t="str">
        <f>IF('Clockify Raw'!M867="","",VALUE('Clockify Raw'!M867))</f>
        <v/>
      </c>
      <c r="D867" t="str">
        <f>IF('Clockify Raw'!A867="","",IF(LOWER('Clockify Raw'!A867)="break","Break","Work"))</f>
        <v/>
      </c>
      <c r="E867" t="str">
        <f>IF('Clockify Raw'!A867="","",IF(LOWER('Clockify Raw'!A867)="break","Break",IF('Clockify Raw'!C867&lt;&gt;"",'Clockify Raw'!C867,IF('Clockify Raw'!D867&lt;&gt;"",'Clockify Raw'!D867,'Clockify Raw'!A867))))</f>
        <v/>
      </c>
      <c r="F867" s="24" t="str">
        <f>IF('Clockify Raw'!O867="","",'Clockify Raw'!O867/24)</f>
        <v/>
      </c>
      <c r="G867" t="str">
        <f>IF(A867="","",COUNTIFS($A$2:$A$1000,A867,$B$2:$B$1000,"&lt;"&amp;B867)+COUNTIFS($A$2:A867,A867,$B$2:B867,B867))</f>
        <v/>
      </c>
      <c r="H867" t="str">
        <f t="shared" si="13"/>
        <v/>
      </c>
    </row>
    <row r="868" spans="1:8">
      <c r="A868" s="25" t="str">
        <f>IF('Clockify Raw'!J868="","",'Clockify Raw'!J868)</f>
        <v/>
      </c>
      <c r="B868" s="23" t="str">
        <f>IF('Clockify Raw'!K868="","",VALUE('Clockify Raw'!K868))</f>
        <v/>
      </c>
      <c r="C868" s="23" t="str">
        <f>IF('Clockify Raw'!M868="","",VALUE('Clockify Raw'!M868))</f>
        <v/>
      </c>
      <c r="D868" t="str">
        <f>IF('Clockify Raw'!A868="","",IF(LOWER('Clockify Raw'!A868)="break","Break","Work"))</f>
        <v/>
      </c>
      <c r="E868" t="str">
        <f>IF('Clockify Raw'!A868="","",IF(LOWER('Clockify Raw'!A868)="break","Break",IF('Clockify Raw'!C868&lt;&gt;"",'Clockify Raw'!C868,IF('Clockify Raw'!D868&lt;&gt;"",'Clockify Raw'!D868,'Clockify Raw'!A868))))</f>
        <v/>
      </c>
      <c r="F868" s="24" t="str">
        <f>IF('Clockify Raw'!O868="","",'Clockify Raw'!O868/24)</f>
        <v/>
      </c>
      <c r="G868" t="str">
        <f>IF(A868="","",COUNTIFS($A$2:$A$1000,A868,$B$2:$B$1000,"&lt;"&amp;B868)+COUNTIFS($A$2:A868,A868,$B$2:B868,B868))</f>
        <v/>
      </c>
      <c r="H868" t="str">
        <f t="shared" si="13"/>
        <v/>
      </c>
    </row>
    <row r="869" spans="1:8">
      <c r="A869" s="25" t="str">
        <f>IF('Clockify Raw'!J869="","",'Clockify Raw'!J869)</f>
        <v/>
      </c>
      <c r="B869" s="23" t="str">
        <f>IF('Clockify Raw'!K869="","",VALUE('Clockify Raw'!K869))</f>
        <v/>
      </c>
      <c r="C869" s="23" t="str">
        <f>IF('Clockify Raw'!M869="","",VALUE('Clockify Raw'!M869))</f>
        <v/>
      </c>
      <c r="D869" t="str">
        <f>IF('Clockify Raw'!A869="","",IF(LOWER('Clockify Raw'!A869)="break","Break","Work"))</f>
        <v/>
      </c>
      <c r="E869" t="str">
        <f>IF('Clockify Raw'!A869="","",IF(LOWER('Clockify Raw'!A869)="break","Break",IF('Clockify Raw'!C869&lt;&gt;"",'Clockify Raw'!C869,IF('Clockify Raw'!D869&lt;&gt;"",'Clockify Raw'!D869,'Clockify Raw'!A869))))</f>
        <v/>
      </c>
      <c r="F869" s="24" t="str">
        <f>IF('Clockify Raw'!O869="","",'Clockify Raw'!O869/24)</f>
        <v/>
      </c>
      <c r="G869" t="str">
        <f>IF(A869="","",COUNTIFS($A$2:$A$1000,A869,$B$2:$B$1000,"&lt;"&amp;B869)+COUNTIFS($A$2:A869,A869,$B$2:B869,B869))</f>
        <v/>
      </c>
      <c r="H869" t="str">
        <f t="shared" si="13"/>
        <v/>
      </c>
    </row>
    <row r="870" spans="1:8">
      <c r="A870" s="25" t="str">
        <f>IF('Clockify Raw'!J870="","",'Clockify Raw'!J870)</f>
        <v/>
      </c>
      <c r="B870" s="23" t="str">
        <f>IF('Clockify Raw'!K870="","",VALUE('Clockify Raw'!K870))</f>
        <v/>
      </c>
      <c r="C870" s="23" t="str">
        <f>IF('Clockify Raw'!M870="","",VALUE('Clockify Raw'!M870))</f>
        <v/>
      </c>
      <c r="D870" t="str">
        <f>IF('Clockify Raw'!A870="","",IF(LOWER('Clockify Raw'!A870)="break","Break","Work"))</f>
        <v/>
      </c>
      <c r="E870" t="str">
        <f>IF('Clockify Raw'!A870="","",IF(LOWER('Clockify Raw'!A870)="break","Break",IF('Clockify Raw'!C870&lt;&gt;"",'Clockify Raw'!C870,IF('Clockify Raw'!D870&lt;&gt;"",'Clockify Raw'!D870,'Clockify Raw'!A870))))</f>
        <v/>
      </c>
      <c r="F870" s="24" t="str">
        <f>IF('Clockify Raw'!O870="","",'Clockify Raw'!O870/24)</f>
        <v/>
      </c>
      <c r="G870" t="str">
        <f>IF(A870="","",COUNTIFS($A$2:$A$1000,A870,$B$2:$B$1000,"&lt;"&amp;B870)+COUNTIFS($A$2:A870,A870,$B$2:B870,B870))</f>
        <v/>
      </c>
      <c r="H870" t="str">
        <f t="shared" si="13"/>
        <v/>
      </c>
    </row>
    <row r="871" spans="1:8">
      <c r="A871" s="25" t="str">
        <f>IF('Clockify Raw'!J871="","",'Clockify Raw'!J871)</f>
        <v/>
      </c>
      <c r="B871" s="23" t="str">
        <f>IF('Clockify Raw'!K871="","",VALUE('Clockify Raw'!K871))</f>
        <v/>
      </c>
      <c r="C871" s="23" t="str">
        <f>IF('Clockify Raw'!M871="","",VALUE('Clockify Raw'!M871))</f>
        <v/>
      </c>
      <c r="D871" t="str">
        <f>IF('Clockify Raw'!A871="","",IF(LOWER('Clockify Raw'!A871)="break","Break","Work"))</f>
        <v/>
      </c>
      <c r="E871" t="str">
        <f>IF('Clockify Raw'!A871="","",IF(LOWER('Clockify Raw'!A871)="break","Break",IF('Clockify Raw'!C871&lt;&gt;"",'Clockify Raw'!C871,IF('Clockify Raw'!D871&lt;&gt;"",'Clockify Raw'!D871,'Clockify Raw'!A871))))</f>
        <v/>
      </c>
      <c r="F871" s="24" t="str">
        <f>IF('Clockify Raw'!O871="","",'Clockify Raw'!O871/24)</f>
        <v/>
      </c>
      <c r="G871" t="str">
        <f>IF(A871="","",COUNTIFS($A$2:$A$1000,A871,$B$2:$B$1000,"&lt;"&amp;B871)+COUNTIFS($A$2:A871,A871,$B$2:B871,B871))</f>
        <v/>
      </c>
      <c r="H871" t="str">
        <f t="shared" si="13"/>
        <v/>
      </c>
    </row>
    <row r="872" spans="1:8">
      <c r="A872" s="25" t="str">
        <f>IF('Clockify Raw'!J872="","",'Clockify Raw'!J872)</f>
        <v/>
      </c>
      <c r="B872" s="23" t="str">
        <f>IF('Clockify Raw'!K872="","",VALUE('Clockify Raw'!K872))</f>
        <v/>
      </c>
      <c r="C872" s="23" t="str">
        <f>IF('Clockify Raw'!M872="","",VALUE('Clockify Raw'!M872))</f>
        <v/>
      </c>
      <c r="D872" t="str">
        <f>IF('Clockify Raw'!A872="","",IF(LOWER('Clockify Raw'!A872)="break","Break","Work"))</f>
        <v/>
      </c>
      <c r="E872" t="str">
        <f>IF('Clockify Raw'!A872="","",IF(LOWER('Clockify Raw'!A872)="break","Break",IF('Clockify Raw'!C872&lt;&gt;"",'Clockify Raw'!C872,IF('Clockify Raw'!D872&lt;&gt;"",'Clockify Raw'!D872,'Clockify Raw'!A872))))</f>
        <v/>
      </c>
      <c r="F872" s="24" t="str">
        <f>IF('Clockify Raw'!O872="","",'Clockify Raw'!O872/24)</f>
        <v/>
      </c>
      <c r="G872" t="str">
        <f>IF(A872="","",COUNTIFS($A$2:$A$1000,A872,$B$2:$B$1000,"&lt;"&amp;B872)+COUNTIFS($A$2:A872,A872,$B$2:B872,B872))</f>
        <v/>
      </c>
      <c r="H872" t="str">
        <f t="shared" si="13"/>
        <v/>
      </c>
    </row>
    <row r="873" spans="1:8">
      <c r="A873" s="25" t="str">
        <f>IF('Clockify Raw'!J873="","",'Clockify Raw'!J873)</f>
        <v/>
      </c>
      <c r="B873" s="23" t="str">
        <f>IF('Clockify Raw'!K873="","",VALUE('Clockify Raw'!K873))</f>
        <v/>
      </c>
      <c r="C873" s="23" t="str">
        <f>IF('Clockify Raw'!M873="","",VALUE('Clockify Raw'!M873))</f>
        <v/>
      </c>
      <c r="D873" t="str">
        <f>IF('Clockify Raw'!A873="","",IF(LOWER('Clockify Raw'!A873)="break","Break","Work"))</f>
        <v/>
      </c>
      <c r="E873" t="str">
        <f>IF('Clockify Raw'!A873="","",IF(LOWER('Clockify Raw'!A873)="break","Break",IF('Clockify Raw'!C873&lt;&gt;"",'Clockify Raw'!C873,IF('Clockify Raw'!D873&lt;&gt;"",'Clockify Raw'!D873,'Clockify Raw'!A873))))</f>
        <v/>
      </c>
      <c r="F873" s="24" t="str">
        <f>IF('Clockify Raw'!O873="","",'Clockify Raw'!O873/24)</f>
        <v/>
      </c>
      <c r="G873" t="str">
        <f>IF(A873="","",COUNTIFS($A$2:$A$1000,A873,$B$2:$B$1000,"&lt;"&amp;B873)+COUNTIFS($A$2:A873,A873,$B$2:B873,B873))</f>
        <v/>
      </c>
      <c r="H873" t="str">
        <f t="shared" si="13"/>
        <v/>
      </c>
    </row>
    <row r="874" spans="1:8">
      <c r="A874" s="25" t="str">
        <f>IF('Clockify Raw'!J874="","",'Clockify Raw'!J874)</f>
        <v/>
      </c>
      <c r="B874" s="23" t="str">
        <f>IF('Clockify Raw'!K874="","",VALUE('Clockify Raw'!K874))</f>
        <v/>
      </c>
      <c r="C874" s="23" t="str">
        <f>IF('Clockify Raw'!M874="","",VALUE('Clockify Raw'!M874))</f>
        <v/>
      </c>
      <c r="D874" t="str">
        <f>IF('Clockify Raw'!A874="","",IF(LOWER('Clockify Raw'!A874)="break","Break","Work"))</f>
        <v/>
      </c>
      <c r="E874" t="str">
        <f>IF('Clockify Raw'!A874="","",IF(LOWER('Clockify Raw'!A874)="break","Break",IF('Clockify Raw'!C874&lt;&gt;"",'Clockify Raw'!C874,IF('Clockify Raw'!D874&lt;&gt;"",'Clockify Raw'!D874,'Clockify Raw'!A874))))</f>
        <v/>
      </c>
      <c r="F874" s="24" t="str">
        <f>IF('Clockify Raw'!O874="","",'Clockify Raw'!O874/24)</f>
        <v/>
      </c>
      <c r="G874" t="str">
        <f>IF(A874="","",COUNTIFS($A$2:$A$1000,A874,$B$2:$B$1000,"&lt;"&amp;B874)+COUNTIFS($A$2:A874,A874,$B$2:B874,B874))</f>
        <v/>
      </c>
      <c r="H874" t="str">
        <f t="shared" si="13"/>
        <v/>
      </c>
    </row>
    <row r="875" spans="1:8">
      <c r="A875" s="25" t="str">
        <f>IF('Clockify Raw'!J875="","",'Clockify Raw'!J875)</f>
        <v/>
      </c>
      <c r="B875" s="23" t="str">
        <f>IF('Clockify Raw'!K875="","",VALUE('Clockify Raw'!K875))</f>
        <v/>
      </c>
      <c r="C875" s="23" t="str">
        <f>IF('Clockify Raw'!M875="","",VALUE('Clockify Raw'!M875))</f>
        <v/>
      </c>
      <c r="D875" t="str">
        <f>IF('Clockify Raw'!A875="","",IF(LOWER('Clockify Raw'!A875)="break","Break","Work"))</f>
        <v/>
      </c>
      <c r="E875" t="str">
        <f>IF('Clockify Raw'!A875="","",IF(LOWER('Clockify Raw'!A875)="break","Break",IF('Clockify Raw'!C875&lt;&gt;"",'Clockify Raw'!C875,IF('Clockify Raw'!D875&lt;&gt;"",'Clockify Raw'!D875,'Clockify Raw'!A875))))</f>
        <v/>
      </c>
      <c r="F875" s="24" t="str">
        <f>IF('Clockify Raw'!O875="","",'Clockify Raw'!O875/24)</f>
        <v/>
      </c>
      <c r="G875" t="str">
        <f>IF(A875="","",COUNTIFS($A$2:$A$1000,A875,$B$2:$B$1000,"&lt;"&amp;B875)+COUNTIFS($A$2:A875,A875,$B$2:B875,B875))</f>
        <v/>
      </c>
      <c r="H875" t="str">
        <f t="shared" si="13"/>
        <v/>
      </c>
    </row>
    <row r="876" spans="1:8">
      <c r="A876" s="25" t="str">
        <f>IF('Clockify Raw'!J876="","",'Clockify Raw'!J876)</f>
        <v/>
      </c>
      <c r="B876" s="23" t="str">
        <f>IF('Clockify Raw'!K876="","",VALUE('Clockify Raw'!K876))</f>
        <v/>
      </c>
      <c r="C876" s="23" t="str">
        <f>IF('Clockify Raw'!M876="","",VALUE('Clockify Raw'!M876))</f>
        <v/>
      </c>
      <c r="D876" t="str">
        <f>IF('Clockify Raw'!A876="","",IF(LOWER('Clockify Raw'!A876)="break","Break","Work"))</f>
        <v/>
      </c>
      <c r="E876" t="str">
        <f>IF('Clockify Raw'!A876="","",IF(LOWER('Clockify Raw'!A876)="break","Break",IF('Clockify Raw'!C876&lt;&gt;"",'Clockify Raw'!C876,IF('Clockify Raw'!D876&lt;&gt;"",'Clockify Raw'!D876,'Clockify Raw'!A876))))</f>
        <v/>
      </c>
      <c r="F876" s="24" t="str">
        <f>IF('Clockify Raw'!O876="","",'Clockify Raw'!O876/24)</f>
        <v/>
      </c>
      <c r="G876" t="str">
        <f>IF(A876="","",COUNTIFS($A$2:$A$1000,A876,$B$2:$B$1000,"&lt;"&amp;B876)+COUNTIFS($A$2:A876,A876,$B$2:B876,B876))</f>
        <v/>
      </c>
      <c r="H876" t="str">
        <f t="shared" si="13"/>
        <v/>
      </c>
    </row>
    <row r="877" spans="1:8">
      <c r="A877" s="25" t="str">
        <f>IF('Clockify Raw'!J877="","",'Clockify Raw'!J877)</f>
        <v/>
      </c>
      <c r="B877" s="23" t="str">
        <f>IF('Clockify Raw'!K877="","",VALUE('Clockify Raw'!K877))</f>
        <v/>
      </c>
      <c r="C877" s="23" t="str">
        <f>IF('Clockify Raw'!M877="","",VALUE('Clockify Raw'!M877))</f>
        <v/>
      </c>
      <c r="D877" t="str">
        <f>IF('Clockify Raw'!A877="","",IF(LOWER('Clockify Raw'!A877)="break","Break","Work"))</f>
        <v/>
      </c>
      <c r="E877" t="str">
        <f>IF('Clockify Raw'!A877="","",IF(LOWER('Clockify Raw'!A877)="break","Break",IF('Clockify Raw'!C877&lt;&gt;"",'Clockify Raw'!C877,IF('Clockify Raw'!D877&lt;&gt;"",'Clockify Raw'!D877,'Clockify Raw'!A877))))</f>
        <v/>
      </c>
      <c r="F877" s="24" t="str">
        <f>IF('Clockify Raw'!O877="","",'Clockify Raw'!O877/24)</f>
        <v/>
      </c>
      <c r="G877" t="str">
        <f>IF(A877="","",COUNTIFS($A$2:$A$1000,A877,$B$2:$B$1000,"&lt;"&amp;B877)+COUNTIFS($A$2:A877,A877,$B$2:B877,B877))</f>
        <v/>
      </c>
      <c r="H877" t="str">
        <f t="shared" si="13"/>
        <v/>
      </c>
    </row>
    <row r="878" spans="1:8">
      <c r="A878" s="25" t="str">
        <f>IF('Clockify Raw'!J878="","",'Clockify Raw'!J878)</f>
        <v/>
      </c>
      <c r="B878" s="23" t="str">
        <f>IF('Clockify Raw'!K878="","",VALUE('Clockify Raw'!K878))</f>
        <v/>
      </c>
      <c r="C878" s="23" t="str">
        <f>IF('Clockify Raw'!M878="","",VALUE('Clockify Raw'!M878))</f>
        <v/>
      </c>
      <c r="D878" t="str">
        <f>IF('Clockify Raw'!A878="","",IF(LOWER('Clockify Raw'!A878)="break","Break","Work"))</f>
        <v/>
      </c>
      <c r="E878" t="str">
        <f>IF('Clockify Raw'!A878="","",IF(LOWER('Clockify Raw'!A878)="break","Break",IF('Clockify Raw'!C878&lt;&gt;"",'Clockify Raw'!C878,IF('Clockify Raw'!D878&lt;&gt;"",'Clockify Raw'!D878,'Clockify Raw'!A878))))</f>
        <v/>
      </c>
      <c r="F878" s="24" t="str">
        <f>IF('Clockify Raw'!O878="","",'Clockify Raw'!O878/24)</f>
        <v/>
      </c>
      <c r="G878" t="str">
        <f>IF(A878="","",COUNTIFS($A$2:$A$1000,A878,$B$2:$B$1000,"&lt;"&amp;B878)+COUNTIFS($A$2:A878,A878,$B$2:B878,B878))</f>
        <v/>
      </c>
      <c r="H878" t="str">
        <f t="shared" si="13"/>
        <v/>
      </c>
    </row>
    <row r="879" spans="1:8">
      <c r="A879" s="25" t="str">
        <f>IF('Clockify Raw'!J879="","",'Clockify Raw'!J879)</f>
        <v/>
      </c>
      <c r="B879" s="23" t="str">
        <f>IF('Clockify Raw'!K879="","",VALUE('Clockify Raw'!K879))</f>
        <v/>
      </c>
      <c r="C879" s="23" t="str">
        <f>IF('Clockify Raw'!M879="","",VALUE('Clockify Raw'!M879))</f>
        <v/>
      </c>
      <c r="D879" t="str">
        <f>IF('Clockify Raw'!A879="","",IF(LOWER('Clockify Raw'!A879)="break","Break","Work"))</f>
        <v/>
      </c>
      <c r="E879" t="str">
        <f>IF('Clockify Raw'!A879="","",IF(LOWER('Clockify Raw'!A879)="break","Break",IF('Clockify Raw'!C879&lt;&gt;"",'Clockify Raw'!C879,IF('Clockify Raw'!D879&lt;&gt;"",'Clockify Raw'!D879,'Clockify Raw'!A879))))</f>
        <v/>
      </c>
      <c r="F879" s="24" t="str">
        <f>IF('Clockify Raw'!O879="","",'Clockify Raw'!O879/24)</f>
        <v/>
      </c>
      <c r="G879" t="str">
        <f>IF(A879="","",COUNTIFS($A$2:$A$1000,A879,$B$2:$B$1000,"&lt;"&amp;B879)+COUNTIFS($A$2:A879,A879,$B$2:B879,B879))</f>
        <v/>
      </c>
      <c r="H879" t="str">
        <f t="shared" si="13"/>
        <v/>
      </c>
    </row>
    <row r="880" spans="1:8">
      <c r="A880" s="25" t="str">
        <f>IF('Clockify Raw'!J880="","",'Clockify Raw'!J880)</f>
        <v/>
      </c>
      <c r="B880" s="23" t="str">
        <f>IF('Clockify Raw'!K880="","",VALUE('Clockify Raw'!K880))</f>
        <v/>
      </c>
      <c r="C880" s="23" t="str">
        <f>IF('Clockify Raw'!M880="","",VALUE('Clockify Raw'!M880))</f>
        <v/>
      </c>
      <c r="D880" t="str">
        <f>IF('Clockify Raw'!A880="","",IF(LOWER('Clockify Raw'!A880)="break","Break","Work"))</f>
        <v/>
      </c>
      <c r="E880" t="str">
        <f>IF('Clockify Raw'!A880="","",IF(LOWER('Clockify Raw'!A880)="break","Break",IF('Clockify Raw'!C880&lt;&gt;"",'Clockify Raw'!C880,IF('Clockify Raw'!D880&lt;&gt;"",'Clockify Raw'!D880,'Clockify Raw'!A880))))</f>
        <v/>
      </c>
      <c r="F880" s="24" t="str">
        <f>IF('Clockify Raw'!O880="","",'Clockify Raw'!O880/24)</f>
        <v/>
      </c>
      <c r="G880" t="str">
        <f>IF(A880="","",COUNTIFS($A$2:$A$1000,A880,$B$2:$B$1000,"&lt;"&amp;B880)+COUNTIFS($A$2:A880,A880,$B$2:B880,B880))</f>
        <v/>
      </c>
      <c r="H880" t="str">
        <f t="shared" si="13"/>
        <v/>
      </c>
    </row>
    <row r="881" spans="1:8">
      <c r="A881" s="25" t="str">
        <f>IF('Clockify Raw'!J881="","",'Clockify Raw'!J881)</f>
        <v/>
      </c>
      <c r="B881" s="23" t="str">
        <f>IF('Clockify Raw'!K881="","",VALUE('Clockify Raw'!K881))</f>
        <v/>
      </c>
      <c r="C881" s="23" t="str">
        <f>IF('Clockify Raw'!M881="","",VALUE('Clockify Raw'!M881))</f>
        <v/>
      </c>
      <c r="D881" t="str">
        <f>IF('Clockify Raw'!A881="","",IF(LOWER('Clockify Raw'!A881)="break","Break","Work"))</f>
        <v/>
      </c>
      <c r="E881" t="str">
        <f>IF('Clockify Raw'!A881="","",IF(LOWER('Clockify Raw'!A881)="break","Break",IF('Clockify Raw'!C881&lt;&gt;"",'Clockify Raw'!C881,IF('Clockify Raw'!D881&lt;&gt;"",'Clockify Raw'!D881,'Clockify Raw'!A881))))</f>
        <v/>
      </c>
      <c r="F881" s="24" t="str">
        <f>IF('Clockify Raw'!O881="","",'Clockify Raw'!O881/24)</f>
        <v/>
      </c>
      <c r="G881" t="str">
        <f>IF(A881="","",COUNTIFS($A$2:$A$1000,A881,$B$2:$B$1000,"&lt;"&amp;B881)+COUNTIFS($A$2:A881,A881,$B$2:B881,B881))</f>
        <v/>
      </c>
      <c r="H881" t="str">
        <f t="shared" si="13"/>
        <v/>
      </c>
    </row>
    <row r="882" spans="1:8">
      <c r="A882" s="25" t="str">
        <f>IF('Clockify Raw'!J882="","",'Clockify Raw'!J882)</f>
        <v/>
      </c>
      <c r="B882" s="23" t="str">
        <f>IF('Clockify Raw'!K882="","",VALUE('Clockify Raw'!K882))</f>
        <v/>
      </c>
      <c r="C882" s="23" t="str">
        <f>IF('Clockify Raw'!M882="","",VALUE('Clockify Raw'!M882))</f>
        <v/>
      </c>
      <c r="D882" t="str">
        <f>IF('Clockify Raw'!A882="","",IF(LOWER('Clockify Raw'!A882)="break","Break","Work"))</f>
        <v/>
      </c>
      <c r="E882" t="str">
        <f>IF('Clockify Raw'!A882="","",IF(LOWER('Clockify Raw'!A882)="break","Break",IF('Clockify Raw'!C882&lt;&gt;"",'Clockify Raw'!C882,IF('Clockify Raw'!D882&lt;&gt;"",'Clockify Raw'!D882,'Clockify Raw'!A882))))</f>
        <v/>
      </c>
      <c r="F882" s="24" t="str">
        <f>IF('Clockify Raw'!O882="","",'Clockify Raw'!O882/24)</f>
        <v/>
      </c>
      <c r="G882" t="str">
        <f>IF(A882="","",COUNTIFS($A$2:$A$1000,A882,$B$2:$B$1000,"&lt;"&amp;B882)+COUNTIFS($A$2:A882,A882,$B$2:B882,B882))</f>
        <v/>
      </c>
      <c r="H882" t="str">
        <f t="shared" si="13"/>
        <v/>
      </c>
    </row>
    <row r="883" spans="1:8">
      <c r="A883" s="25" t="str">
        <f>IF('Clockify Raw'!J883="","",'Clockify Raw'!J883)</f>
        <v/>
      </c>
      <c r="B883" s="23" t="str">
        <f>IF('Clockify Raw'!K883="","",VALUE('Clockify Raw'!K883))</f>
        <v/>
      </c>
      <c r="C883" s="23" t="str">
        <f>IF('Clockify Raw'!M883="","",VALUE('Clockify Raw'!M883))</f>
        <v/>
      </c>
      <c r="D883" t="str">
        <f>IF('Clockify Raw'!A883="","",IF(LOWER('Clockify Raw'!A883)="break","Break","Work"))</f>
        <v/>
      </c>
      <c r="E883" t="str">
        <f>IF('Clockify Raw'!A883="","",IF(LOWER('Clockify Raw'!A883)="break","Break",IF('Clockify Raw'!C883&lt;&gt;"",'Clockify Raw'!C883,IF('Clockify Raw'!D883&lt;&gt;"",'Clockify Raw'!D883,'Clockify Raw'!A883))))</f>
        <v/>
      </c>
      <c r="F883" s="24" t="str">
        <f>IF('Clockify Raw'!O883="","",'Clockify Raw'!O883/24)</f>
        <v/>
      </c>
      <c r="G883" t="str">
        <f>IF(A883="","",COUNTIFS($A$2:$A$1000,A883,$B$2:$B$1000,"&lt;"&amp;B883)+COUNTIFS($A$2:A883,A883,$B$2:B883,B883))</f>
        <v/>
      </c>
      <c r="H883" t="str">
        <f t="shared" si="13"/>
        <v/>
      </c>
    </row>
    <row r="884" spans="1:8">
      <c r="A884" s="25" t="str">
        <f>IF('Clockify Raw'!J884="","",'Clockify Raw'!J884)</f>
        <v/>
      </c>
      <c r="B884" s="23" t="str">
        <f>IF('Clockify Raw'!K884="","",VALUE('Clockify Raw'!K884))</f>
        <v/>
      </c>
      <c r="C884" s="23" t="str">
        <f>IF('Clockify Raw'!M884="","",VALUE('Clockify Raw'!M884))</f>
        <v/>
      </c>
      <c r="D884" t="str">
        <f>IF('Clockify Raw'!A884="","",IF(LOWER('Clockify Raw'!A884)="break","Break","Work"))</f>
        <v/>
      </c>
      <c r="E884" t="str">
        <f>IF('Clockify Raw'!A884="","",IF(LOWER('Clockify Raw'!A884)="break","Break",IF('Clockify Raw'!C884&lt;&gt;"",'Clockify Raw'!C884,IF('Clockify Raw'!D884&lt;&gt;"",'Clockify Raw'!D884,'Clockify Raw'!A884))))</f>
        <v/>
      </c>
      <c r="F884" s="24" t="str">
        <f>IF('Clockify Raw'!O884="","",'Clockify Raw'!O884/24)</f>
        <v/>
      </c>
      <c r="G884" t="str">
        <f>IF(A884="","",COUNTIFS($A$2:$A$1000,A884,$B$2:$B$1000,"&lt;"&amp;B884)+COUNTIFS($A$2:A884,A884,$B$2:B884,B884))</f>
        <v/>
      </c>
      <c r="H884" t="str">
        <f t="shared" si="13"/>
        <v/>
      </c>
    </row>
    <row r="885" spans="1:8">
      <c r="A885" s="25" t="str">
        <f>IF('Clockify Raw'!J885="","",'Clockify Raw'!J885)</f>
        <v/>
      </c>
      <c r="B885" s="23" t="str">
        <f>IF('Clockify Raw'!K885="","",VALUE('Clockify Raw'!K885))</f>
        <v/>
      </c>
      <c r="C885" s="23" t="str">
        <f>IF('Clockify Raw'!M885="","",VALUE('Clockify Raw'!M885))</f>
        <v/>
      </c>
      <c r="D885" t="str">
        <f>IF('Clockify Raw'!A885="","",IF(LOWER('Clockify Raw'!A885)="break","Break","Work"))</f>
        <v/>
      </c>
      <c r="E885" t="str">
        <f>IF('Clockify Raw'!A885="","",IF(LOWER('Clockify Raw'!A885)="break","Break",IF('Clockify Raw'!C885&lt;&gt;"",'Clockify Raw'!C885,IF('Clockify Raw'!D885&lt;&gt;"",'Clockify Raw'!D885,'Clockify Raw'!A885))))</f>
        <v/>
      </c>
      <c r="F885" s="24" t="str">
        <f>IF('Clockify Raw'!O885="","",'Clockify Raw'!O885/24)</f>
        <v/>
      </c>
      <c r="G885" t="str">
        <f>IF(A885="","",COUNTIFS($A$2:$A$1000,A885,$B$2:$B$1000,"&lt;"&amp;B885)+COUNTIFS($A$2:A885,A885,$B$2:B885,B885))</f>
        <v/>
      </c>
      <c r="H885" t="str">
        <f t="shared" si="13"/>
        <v/>
      </c>
    </row>
    <row r="886" spans="1:8">
      <c r="A886" s="25" t="str">
        <f>IF('Clockify Raw'!J886="","",'Clockify Raw'!J886)</f>
        <v/>
      </c>
      <c r="B886" s="23" t="str">
        <f>IF('Clockify Raw'!K886="","",VALUE('Clockify Raw'!K886))</f>
        <v/>
      </c>
      <c r="C886" s="23" t="str">
        <f>IF('Clockify Raw'!M886="","",VALUE('Clockify Raw'!M886))</f>
        <v/>
      </c>
      <c r="D886" t="str">
        <f>IF('Clockify Raw'!A886="","",IF(LOWER('Clockify Raw'!A886)="break","Break","Work"))</f>
        <v/>
      </c>
      <c r="E886" t="str">
        <f>IF('Clockify Raw'!A886="","",IF(LOWER('Clockify Raw'!A886)="break","Break",IF('Clockify Raw'!C886&lt;&gt;"",'Clockify Raw'!C886,IF('Clockify Raw'!D886&lt;&gt;"",'Clockify Raw'!D886,'Clockify Raw'!A886))))</f>
        <v/>
      </c>
      <c r="F886" s="24" t="str">
        <f>IF('Clockify Raw'!O886="","",'Clockify Raw'!O886/24)</f>
        <v/>
      </c>
      <c r="G886" t="str">
        <f>IF(A886="","",COUNTIFS($A$2:$A$1000,A886,$B$2:$B$1000,"&lt;"&amp;B886)+COUNTIFS($A$2:A886,A886,$B$2:B886,B886))</f>
        <v/>
      </c>
      <c r="H886" t="str">
        <f t="shared" si="13"/>
        <v/>
      </c>
    </row>
    <row r="887" spans="1:8">
      <c r="A887" s="25" t="str">
        <f>IF('Clockify Raw'!J887="","",'Clockify Raw'!J887)</f>
        <v/>
      </c>
      <c r="B887" s="23" t="str">
        <f>IF('Clockify Raw'!K887="","",VALUE('Clockify Raw'!K887))</f>
        <v/>
      </c>
      <c r="C887" s="23" t="str">
        <f>IF('Clockify Raw'!M887="","",VALUE('Clockify Raw'!M887))</f>
        <v/>
      </c>
      <c r="D887" t="str">
        <f>IF('Clockify Raw'!A887="","",IF(LOWER('Clockify Raw'!A887)="break","Break","Work"))</f>
        <v/>
      </c>
      <c r="E887" t="str">
        <f>IF('Clockify Raw'!A887="","",IF(LOWER('Clockify Raw'!A887)="break","Break",IF('Clockify Raw'!C887&lt;&gt;"",'Clockify Raw'!C887,IF('Clockify Raw'!D887&lt;&gt;"",'Clockify Raw'!D887,'Clockify Raw'!A887))))</f>
        <v/>
      </c>
      <c r="F887" s="24" t="str">
        <f>IF('Clockify Raw'!O887="","",'Clockify Raw'!O887/24)</f>
        <v/>
      </c>
      <c r="G887" t="str">
        <f>IF(A887="","",COUNTIFS($A$2:$A$1000,A887,$B$2:$B$1000,"&lt;"&amp;B887)+COUNTIFS($A$2:A887,A887,$B$2:B887,B887))</f>
        <v/>
      </c>
      <c r="H887" t="str">
        <f t="shared" si="13"/>
        <v/>
      </c>
    </row>
    <row r="888" spans="1:8">
      <c r="A888" s="25" t="str">
        <f>IF('Clockify Raw'!J888="","",'Clockify Raw'!J888)</f>
        <v/>
      </c>
      <c r="B888" s="23" t="str">
        <f>IF('Clockify Raw'!K888="","",VALUE('Clockify Raw'!K888))</f>
        <v/>
      </c>
      <c r="C888" s="23" t="str">
        <f>IF('Clockify Raw'!M888="","",VALUE('Clockify Raw'!M888))</f>
        <v/>
      </c>
      <c r="D888" t="str">
        <f>IF('Clockify Raw'!A888="","",IF(LOWER('Clockify Raw'!A888)="break","Break","Work"))</f>
        <v/>
      </c>
      <c r="E888" t="str">
        <f>IF('Clockify Raw'!A888="","",IF(LOWER('Clockify Raw'!A888)="break","Break",IF('Clockify Raw'!C888&lt;&gt;"",'Clockify Raw'!C888,IF('Clockify Raw'!D888&lt;&gt;"",'Clockify Raw'!D888,'Clockify Raw'!A888))))</f>
        <v/>
      </c>
      <c r="F888" s="24" t="str">
        <f>IF('Clockify Raw'!O888="","",'Clockify Raw'!O888/24)</f>
        <v/>
      </c>
      <c r="G888" t="str">
        <f>IF(A888="","",COUNTIFS($A$2:$A$1000,A888,$B$2:$B$1000,"&lt;"&amp;B888)+COUNTIFS($A$2:A888,A888,$B$2:B888,B888))</f>
        <v/>
      </c>
      <c r="H888" t="str">
        <f t="shared" si="13"/>
        <v/>
      </c>
    </row>
    <row r="889" spans="1:8">
      <c r="A889" s="25" t="str">
        <f>IF('Clockify Raw'!J889="","",'Clockify Raw'!J889)</f>
        <v/>
      </c>
      <c r="B889" s="23" t="str">
        <f>IF('Clockify Raw'!K889="","",VALUE('Clockify Raw'!K889))</f>
        <v/>
      </c>
      <c r="C889" s="23" t="str">
        <f>IF('Clockify Raw'!M889="","",VALUE('Clockify Raw'!M889))</f>
        <v/>
      </c>
      <c r="D889" t="str">
        <f>IF('Clockify Raw'!A889="","",IF(LOWER('Clockify Raw'!A889)="break","Break","Work"))</f>
        <v/>
      </c>
      <c r="E889" t="str">
        <f>IF('Clockify Raw'!A889="","",IF(LOWER('Clockify Raw'!A889)="break","Break",IF('Clockify Raw'!C889&lt;&gt;"",'Clockify Raw'!C889,IF('Clockify Raw'!D889&lt;&gt;"",'Clockify Raw'!D889,'Clockify Raw'!A889))))</f>
        <v/>
      </c>
      <c r="F889" s="24" t="str">
        <f>IF('Clockify Raw'!O889="","",'Clockify Raw'!O889/24)</f>
        <v/>
      </c>
      <c r="G889" t="str">
        <f>IF(A889="","",COUNTIFS($A$2:$A$1000,A889,$B$2:$B$1000,"&lt;"&amp;B889)+COUNTIFS($A$2:A889,A889,$B$2:B889,B889))</f>
        <v/>
      </c>
      <c r="H889" t="str">
        <f t="shared" si="13"/>
        <v/>
      </c>
    </row>
    <row r="890" spans="1:8">
      <c r="A890" s="25" t="str">
        <f>IF('Clockify Raw'!J890="","",'Clockify Raw'!J890)</f>
        <v/>
      </c>
      <c r="B890" s="23" t="str">
        <f>IF('Clockify Raw'!K890="","",VALUE('Clockify Raw'!K890))</f>
        <v/>
      </c>
      <c r="C890" s="23" t="str">
        <f>IF('Clockify Raw'!M890="","",VALUE('Clockify Raw'!M890))</f>
        <v/>
      </c>
      <c r="D890" t="str">
        <f>IF('Clockify Raw'!A890="","",IF(LOWER('Clockify Raw'!A890)="break","Break","Work"))</f>
        <v/>
      </c>
      <c r="E890" t="str">
        <f>IF('Clockify Raw'!A890="","",IF(LOWER('Clockify Raw'!A890)="break","Break",IF('Clockify Raw'!C890&lt;&gt;"",'Clockify Raw'!C890,IF('Clockify Raw'!D890&lt;&gt;"",'Clockify Raw'!D890,'Clockify Raw'!A890))))</f>
        <v/>
      </c>
      <c r="F890" s="24" t="str">
        <f>IF('Clockify Raw'!O890="","",'Clockify Raw'!O890/24)</f>
        <v/>
      </c>
      <c r="G890" t="str">
        <f>IF(A890="","",COUNTIFS($A$2:$A$1000,A890,$B$2:$B$1000,"&lt;"&amp;B890)+COUNTIFS($A$2:A890,A890,$B$2:B890,B890))</f>
        <v/>
      </c>
      <c r="H890" t="str">
        <f t="shared" si="13"/>
        <v/>
      </c>
    </row>
    <row r="891" spans="1:8">
      <c r="A891" s="25" t="str">
        <f>IF('Clockify Raw'!J891="","",'Clockify Raw'!J891)</f>
        <v/>
      </c>
      <c r="B891" s="23" t="str">
        <f>IF('Clockify Raw'!K891="","",VALUE('Clockify Raw'!K891))</f>
        <v/>
      </c>
      <c r="C891" s="23" t="str">
        <f>IF('Clockify Raw'!M891="","",VALUE('Clockify Raw'!M891))</f>
        <v/>
      </c>
      <c r="D891" t="str">
        <f>IF('Clockify Raw'!A891="","",IF(LOWER('Clockify Raw'!A891)="break","Break","Work"))</f>
        <v/>
      </c>
      <c r="E891" t="str">
        <f>IF('Clockify Raw'!A891="","",IF(LOWER('Clockify Raw'!A891)="break","Break",IF('Clockify Raw'!C891&lt;&gt;"",'Clockify Raw'!C891,IF('Clockify Raw'!D891&lt;&gt;"",'Clockify Raw'!D891,'Clockify Raw'!A891))))</f>
        <v/>
      </c>
      <c r="F891" s="24" t="str">
        <f>IF('Clockify Raw'!O891="","",'Clockify Raw'!O891/24)</f>
        <v/>
      </c>
      <c r="G891" t="str">
        <f>IF(A891="","",COUNTIFS($A$2:$A$1000,A891,$B$2:$B$1000,"&lt;"&amp;B891)+COUNTIFS($A$2:A891,A891,$B$2:B891,B891))</f>
        <v/>
      </c>
      <c r="H891" t="str">
        <f t="shared" si="13"/>
        <v/>
      </c>
    </row>
    <row r="892" spans="1:8">
      <c r="A892" s="25" t="str">
        <f>IF('Clockify Raw'!J892="","",'Clockify Raw'!J892)</f>
        <v/>
      </c>
      <c r="B892" s="23" t="str">
        <f>IF('Clockify Raw'!K892="","",VALUE('Clockify Raw'!K892))</f>
        <v/>
      </c>
      <c r="C892" s="23" t="str">
        <f>IF('Clockify Raw'!M892="","",VALUE('Clockify Raw'!M892))</f>
        <v/>
      </c>
      <c r="D892" t="str">
        <f>IF('Clockify Raw'!A892="","",IF(LOWER('Clockify Raw'!A892)="break","Break","Work"))</f>
        <v/>
      </c>
      <c r="E892" t="str">
        <f>IF('Clockify Raw'!A892="","",IF(LOWER('Clockify Raw'!A892)="break","Break",IF('Clockify Raw'!C892&lt;&gt;"",'Clockify Raw'!C892,IF('Clockify Raw'!D892&lt;&gt;"",'Clockify Raw'!D892,'Clockify Raw'!A892))))</f>
        <v/>
      </c>
      <c r="F892" s="24" t="str">
        <f>IF('Clockify Raw'!O892="","",'Clockify Raw'!O892/24)</f>
        <v/>
      </c>
      <c r="G892" t="str">
        <f>IF(A892="","",COUNTIFS($A$2:$A$1000,A892,$B$2:$B$1000,"&lt;"&amp;B892)+COUNTIFS($A$2:A892,A892,$B$2:B892,B892))</f>
        <v/>
      </c>
      <c r="H892" t="str">
        <f t="shared" si="13"/>
        <v/>
      </c>
    </row>
    <row r="893" spans="1:8">
      <c r="A893" s="25" t="str">
        <f>IF('Clockify Raw'!J893="","",'Clockify Raw'!J893)</f>
        <v/>
      </c>
      <c r="B893" s="23" t="str">
        <f>IF('Clockify Raw'!K893="","",VALUE('Clockify Raw'!K893))</f>
        <v/>
      </c>
      <c r="C893" s="23" t="str">
        <f>IF('Clockify Raw'!M893="","",VALUE('Clockify Raw'!M893))</f>
        <v/>
      </c>
      <c r="D893" t="str">
        <f>IF('Clockify Raw'!A893="","",IF(LOWER('Clockify Raw'!A893)="break","Break","Work"))</f>
        <v/>
      </c>
      <c r="E893" t="str">
        <f>IF('Clockify Raw'!A893="","",IF(LOWER('Clockify Raw'!A893)="break","Break",IF('Clockify Raw'!C893&lt;&gt;"",'Clockify Raw'!C893,IF('Clockify Raw'!D893&lt;&gt;"",'Clockify Raw'!D893,'Clockify Raw'!A893))))</f>
        <v/>
      </c>
      <c r="F893" s="24" t="str">
        <f>IF('Clockify Raw'!O893="","",'Clockify Raw'!O893/24)</f>
        <v/>
      </c>
      <c r="G893" t="str">
        <f>IF(A893="","",COUNTIFS($A$2:$A$1000,A893,$B$2:$B$1000,"&lt;"&amp;B893)+COUNTIFS($A$2:A893,A893,$B$2:B893,B893))</f>
        <v/>
      </c>
      <c r="H893" t="str">
        <f t="shared" si="13"/>
        <v/>
      </c>
    </row>
    <row r="894" spans="1:8">
      <c r="A894" s="25" t="str">
        <f>IF('Clockify Raw'!J894="","",'Clockify Raw'!J894)</f>
        <v/>
      </c>
      <c r="B894" s="23" t="str">
        <f>IF('Clockify Raw'!K894="","",VALUE('Clockify Raw'!K894))</f>
        <v/>
      </c>
      <c r="C894" s="23" t="str">
        <f>IF('Clockify Raw'!M894="","",VALUE('Clockify Raw'!M894))</f>
        <v/>
      </c>
      <c r="D894" t="str">
        <f>IF('Clockify Raw'!A894="","",IF(LOWER('Clockify Raw'!A894)="break","Break","Work"))</f>
        <v/>
      </c>
      <c r="E894" t="str">
        <f>IF('Clockify Raw'!A894="","",IF(LOWER('Clockify Raw'!A894)="break","Break",IF('Clockify Raw'!C894&lt;&gt;"",'Clockify Raw'!C894,IF('Clockify Raw'!D894&lt;&gt;"",'Clockify Raw'!D894,'Clockify Raw'!A894))))</f>
        <v/>
      </c>
      <c r="F894" s="24" t="str">
        <f>IF('Clockify Raw'!O894="","",'Clockify Raw'!O894/24)</f>
        <v/>
      </c>
      <c r="G894" t="str">
        <f>IF(A894="","",COUNTIFS($A$2:$A$1000,A894,$B$2:$B$1000,"&lt;"&amp;B894)+COUNTIFS($A$2:A894,A894,$B$2:B894,B894))</f>
        <v/>
      </c>
      <c r="H894" t="str">
        <f t="shared" si="13"/>
        <v/>
      </c>
    </row>
    <row r="895" spans="1:8">
      <c r="A895" s="25" t="str">
        <f>IF('Clockify Raw'!J895="","",'Clockify Raw'!J895)</f>
        <v/>
      </c>
      <c r="B895" s="23" t="str">
        <f>IF('Clockify Raw'!K895="","",VALUE('Clockify Raw'!K895))</f>
        <v/>
      </c>
      <c r="C895" s="23" t="str">
        <f>IF('Clockify Raw'!M895="","",VALUE('Clockify Raw'!M895))</f>
        <v/>
      </c>
      <c r="D895" t="str">
        <f>IF('Clockify Raw'!A895="","",IF(LOWER('Clockify Raw'!A895)="break","Break","Work"))</f>
        <v/>
      </c>
      <c r="E895" t="str">
        <f>IF('Clockify Raw'!A895="","",IF(LOWER('Clockify Raw'!A895)="break","Break",IF('Clockify Raw'!C895&lt;&gt;"",'Clockify Raw'!C895,IF('Clockify Raw'!D895&lt;&gt;"",'Clockify Raw'!D895,'Clockify Raw'!A895))))</f>
        <v/>
      </c>
      <c r="F895" s="24" t="str">
        <f>IF('Clockify Raw'!O895="","",'Clockify Raw'!O895/24)</f>
        <v/>
      </c>
      <c r="G895" t="str">
        <f>IF(A895="","",COUNTIFS($A$2:$A$1000,A895,$B$2:$B$1000,"&lt;"&amp;B895)+COUNTIFS($A$2:A895,A895,$B$2:B895,B895))</f>
        <v/>
      </c>
      <c r="H895" t="str">
        <f t="shared" si="13"/>
        <v/>
      </c>
    </row>
    <row r="896" spans="1:8">
      <c r="A896" s="25" t="str">
        <f>IF('Clockify Raw'!J896="","",'Clockify Raw'!J896)</f>
        <v/>
      </c>
      <c r="B896" s="23" t="str">
        <f>IF('Clockify Raw'!K896="","",VALUE('Clockify Raw'!K896))</f>
        <v/>
      </c>
      <c r="C896" s="23" t="str">
        <f>IF('Clockify Raw'!M896="","",VALUE('Clockify Raw'!M896))</f>
        <v/>
      </c>
      <c r="D896" t="str">
        <f>IF('Clockify Raw'!A896="","",IF(LOWER('Clockify Raw'!A896)="break","Break","Work"))</f>
        <v/>
      </c>
      <c r="E896" t="str">
        <f>IF('Clockify Raw'!A896="","",IF(LOWER('Clockify Raw'!A896)="break","Break",IF('Clockify Raw'!C896&lt;&gt;"",'Clockify Raw'!C896,IF('Clockify Raw'!D896&lt;&gt;"",'Clockify Raw'!D896,'Clockify Raw'!A896))))</f>
        <v/>
      </c>
      <c r="F896" s="24" t="str">
        <f>IF('Clockify Raw'!O896="","",'Clockify Raw'!O896/24)</f>
        <v/>
      </c>
      <c r="G896" t="str">
        <f>IF(A896="","",COUNTIFS($A$2:$A$1000,A896,$B$2:$B$1000,"&lt;"&amp;B896)+COUNTIFS($A$2:A896,A896,$B$2:B896,B896))</f>
        <v/>
      </c>
      <c r="H896" t="str">
        <f t="shared" si="13"/>
        <v/>
      </c>
    </row>
    <row r="897" spans="1:8">
      <c r="A897" s="25" t="str">
        <f>IF('Clockify Raw'!J897="","",'Clockify Raw'!J897)</f>
        <v/>
      </c>
      <c r="B897" s="23" t="str">
        <f>IF('Clockify Raw'!K897="","",VALUE('Clockify Raw'!K897))</f>
        <v/>
      </c>
      <c r="C897" s="23" t="str">
        <f>IF('Clockify Raw'!M897="","",VALUE('Clockify Raw'!M897))</f>
        <v/>
      </c>
      <c r="D897" t="str">
        <f>IF('Clockify Raw'!A897="","",IF(LOWER('Clockify Raw'!A897)="break","Break","Work"))</f>
        <v/>
      </c>
      <c r="E897" t="str">
        <f>IF('Clockify Raw'!A897="","",IF(LOWER('Clockify Raw'!A897)="break","Break",IF('Clockify Raw'!C897&lt;&gt;"",'Clockify Raw'!C897,IF('Clockify Raw'!D897&lt;&gt;"",'Clockify Raw'!D897,'Clockify Raw'!A897))))</f>
        <v/>
      </c>
      <c r="F897" s="24" t="str">
        <f>IF('Clockify Raw'!O897="","",'Clockify Raw'!O897/24)</f>
        <v/>
      </c>
      <c r="G897" t="str">
        <f>IF(A897="","",COUNTIFS($A$2:$A$1000,A897,$B$2:$B$1000,"&lt;"&amp;B897)+COUNTIFS($A$2:A897,A897,$B$2:B897,B897))</f>
        <v/>
      </c>
      <c r="H897" t="str">
        <f t="shared" si="13"/>
        <v/>
      </c>
    </row>
    <row r="898" spans="1:8">
      <c r="A898" s="25" t="str">
        <f>IF('Clockify Raw'!J898="","",'Clockify Raw'!J898)</f>
        <v/>
      </c>
      <c r="B898" s="23" t="str">
        <f>IF('Clockify Raw'!K898="","",VALUE('Clockify Raw'!K898))</f>
        <v/>
      </c>
      <c r="C898" s="23" t="str">
        <f>IF('Clockify Raw'!M898="","",VALUE('Clockify Raw'!M898))</f>
        <v/>
      </c>
      <c r="D898" t="str">
        <f>IF('Clockify Raw'!A898="","",IF(LOWER('Clockify Raw'!A898)="break","Break","Work"))</f>
        <v/>
      </c>
      <c r="E898" t="str">
        <f>IF('Clockify Raw'!A898="","",IF(LOWER('Clockify Raw'!A898)="break","Break",IF('Clockify Raw'!C898&lt;&gt;"",'Clockify Raw'!C898,IF('Clockify Raw'!D898&lt;&gt;"",'Clockify Raw'!D898,'Clockify Raw'!A898))))</f>
        <v/>
      </c>
      <c r="F898" s="24" t="str">
        <f>IF('Clockify Raw'!O898="","",'Clockify Raw'!O898/24)</f>
        <v/>
      </c>
      <c r="G898" t="str">
        <f>IF(A898="","",COUNTIFS($A$2:$A$1000,A898,$B$2:$B$1000,"&lt;"&amp;B898)+COUNTIFS($A$2:A898,A898,$B$2:B898,B898))</f>
        <v/>
      </c>
      <c r="H898" t="str">
        <f t="shared" ref="H898:H961" si="14">IF(A898="","",TEXT(A898,"yyyymmdd")&amp;"|"&amp;G898)</f>
        <v/>
      </c>
    </row>
    <row r="899" spans="1:8">
      <c r="A899" s="25" t="str">
        <f>IF('Clockify Raw'!J899="","",'Clockify Raw'!J899)</f>
        <v/>
      </c>
      <c r="B899" s="23" t="str">
        <f>IF('Clockify Raw'!K899="","",VALUE('Clockify Raw'!K899))</f>
        <v/>
      </c>
      <c r="C899" s="23" t="str">
        <f>IF('Clockify Raw'!M899="","",VALUE('Clockify Raw'!M899))</f>
        <v/>
      </c>
      <c r="D899" t="str">
        <f>IF('Clockify Raw'!A899="","",IF(LOWER('Clockify Raw'!A899)="break","Break","Work"))</f>
        <v/>
      </c>
      <c r="E899" t="str">
        <f>IF('Clockify Raw'!A899="","",IF(LOWER('Clockify Raw'!A899)="break","Break",IF('Clockify Raw'!C899&lt;&gt;"",'Clockify Raw'!C899,IF('Clockify Raw'!D899&lt;&gt;"",'Clockify Raw'!D899,'Clockify Raw'!A899))))</f>
        <v/>
      </c>
      <c r="F899" s="24" t="str">
        <f>IF('Clockify Raw'!O899="","",'Clockify Raw'!O899/24)</f>
        <v/>
      </c>
      <c r="G899" t="str">
        <f>IF(A899="","",COUNTIFS($A$2:$A$1000,A899,$B$2:$B$1000,"&lt;"&amp;B899)+COUNTIFS($A$2:A899,A899,$B$2:B899,B899))</f>
        <v/>
      </c>
      <c r="H899" t="str">
        <f t="shared" si="14"/>
        <v/>
      </c>
    </row>
    <row r="900" spans="1:8">
      <c r="A900" s="25" t="str">
        <f>IF('Clockify Raw'!J900="","",'Clockify Raw'!J900)</f>
        <v/>
      </c>
      <c r="B900" s="23" t="str">
        <f>IF('Clockify Raw'!K900="","",VALUE('Clockify Raw'!K900))</f>
        <v/>
      </c>
      <c r="C900" s="23" t="str">
        <f>IF('Clockify Raw'!M900="","",VALUE('Clockify Raw'!M900))</f>
        <v/>
      </c>
      <c r="D900" t="str">
        <f>IF('Clockify Raw'!A900="","",IF(LOWER('Clockify Raw'!A900)="break","Break","Work"))</f>
        <v/>
      </c>
      <c r="E900" t="str">
        <f>IF('Clockify Raw'!A900="","",IF(LOWER('Clockify Raw'!A900)="break","Break",IF('Clockify Raw'!C900&lt;&gt;"",'Clockify Raw'!C900,IF('Clockify Raw'!D900&lt;&gt;"",'Clockify Raw'!D900,'Clockify Raw'!A900))))</f>
        <v/>
      </c>
      <c r="F900" s="24" t="str">
        <f>IF('Clockify Raw'!O900="","",'Clockify Raw'!O900/24)</f>
        <v/>
      </c>
      <c r="G900" t="str">
        <f>IF(A900="","",COUNTIFS($A$2:$A$1000,A900,$B$2:$B$1000,"&lt;"&amp;B900)+COUNTIFS($A$2:A900,A900,$B$2:B900,B900))</f>
        <v/>
      </c>
      <c r="H900" t="str">
        <f t="shared" si="14"/>
        <v/>
      </c>
    </row>
    <row r="901" spans="1:8">
      <c r="A901" s="25" t="str">
        <f>IF('Clockify Raw'!J901="","",'Clockify Raw'!J901)</f>
        <v/>
      </c>
      <c r="B901" s="23" t="str">
        <f>IF('Clockify Raw'!K901="","",VALUE('Clockify Raw'!K901))</f>
        <v/>
      </c>
      <c r="C901" s="23" t="str">
        <f>IF('Clockify Raw'!M901="","",VALUE('Clockify Raw'!M901))</f>
        <v/>
      </c>
      <c r="D901" t="str">
        <f>IF('Clockify Raw'!A901="","",IF(LOWER('Clockify Raw'!A901)="break","Break","Work"))</f>
        <v/>
      </c>
      <c r="E901" t="str">
        <f>IF('Clockify Raw'!A901="","",IF(LOWER('Clockify Raw'!A901)="break","Break",IF('Clockify Raw'!C901&lt;&gt;"",'Clockify Raw'!C901,IF('Clockify Raw'!D901&lt;&gt;"",'Clockify Raw'!D901,'Clockify Raw'!A901))))</f>
        <v/>
      </c>
      <c r="F901" s="24" t="str">
        <f>IF('Clockify Raw'!O901="","",'Clockify Raw'!O901/24)</f>
        <v/>
      </c>
      <c r="G901" t="str">
        <f>IF(A901="","",COUNTIFS($A$2:$A$1000,A901,$B$2:$B$1000,"&lt;"&amp;B901)+COUNTIFS($A$2:A901,A901,$B$2:B901,B901))</f>
        <v/>
      </c>
      <c r="H901" t="str">
        <f t="shared" si="14"/>
        <v/>
      </c>
    </row>
    <row r="902" spans="1:8">
      <c r="A902" s="25" t="str">
        <f>IF('Clockify Raw'!J902="","",'Clockify Raw'!J902)</f>
        <v/>
      </c>
      <c r="B902" s="23" t="str">
        <f>IF('Clockify Raw'!K902="","",VALUE('Clockify Raw'!K902))</f>
        <v/>
      </c>
      <c r="C902" s="23" t="str">
        <f>IF('Clockify Raw'!M902="","",VALUE('Clockify Raw'!M902))</f>
        <v/>
      </c>
      <c r="D902" t="str">
        <f>IF('Clockify Raw'!A902="","",IF(LOWER('Clockify Raw'!A902)="break","Break","Work"))</f>
        <v/>
      </c>
      <c r="E902" t="str">
        <f>IF('Clockify Raw'!A902="","",IF(LOWER('Clockify Raw'!A902)="break","Break",IF('Clockify Raw'!C902&lt;&gt;"",'Clockify Raw'!C902,IF('Clockify Raw'!D902&lt;&gt;"",'Clockify Raw'!D902,'Clockify Raw'!A902))))</f>
        <v/>
      </c>
      <c r="F902" s="24" t="str">
        <f>IF('Clockify Raw'!O902="","",'Clockify Raw'!O902/24)</f>
        <v/>
      </c>
      <c r="G902" t="str">
        <f>IF(A902="","",COUNTIFS($A$2:$A$1000,A902,$B$2:$B$1000,"&lt;"&amp;B902)+COUNTIFS($A$2:A902,A902,$B$2:B902,B902))</f>
        <v/>
      </c>
      <c r="H902" t="str">
        <f t="shared" si="14"/>
        <v/>
      </c>
    </row>
    <row r="903" spans="1:8">
      <c r="A903" s="25" t="str">
        <f>IF('Clockify Raw'!J903="","",'Clockify Raw'!J903)</f>
        <v/>
      </c>
      <c r="B903" s="23" t="str">
        <f>IF('Clockify Raw'!K903="","",VALUE('Clockify Raw'!K903))</f>
        <v/>
      </c>
      <c r="C903" s="23" t="str">
        <f>IF('Clockify Raw'!M903="","",VALUE('Clockify Raw'!M903))</f>
        <v/>
      </c>
      <c r="D903" t="str">
        <f>IF('Clockify Raw'!A903="","",IF(LOWER('Clockify Raw'!A903)="break","Break","Work"))</f>
        <v/>
      </c>
      <c r="E903" t="str">
        <f>IF('Clockify Raw'!A903="","",IF(LOWER('Clockify Raw'!A903)="break","Break",IF('Clockify Raw'!C903&lt;&gt;"",'Clockify Raw'!C903,IF('Clockify Raw'!D903&lt;&gt;"",'Clockify Raw'!D903,'Clockify Raw'!A903))))</f>
        <v/>
      </c>
      <c r="F903" s="24" t="str">
        <f>IF('Clockify Raw'!O903="","",'Clockify Raw'!O903/24)</f>
        <v/>
      </c>
      <c r="G903" t="str">
        <f>IF(A903="","",COUNTIFS($A$2:$A$1000,A903,$B$2:$B$1000,"&lt;"&amp;B903)+COUNTIFS($A$2:A903,A903,$B$2:B903,B903))</f>
        <v/>
      </c>
      <c r="H903" t="str">
        <f t="shared" si="14"/>
        <v/>
      </c>
    </row>
    <row r="904" spans="1:8">
      <c r="A904" s="25" t="str">
        <f>IF('Clockify Raw'!J904="","",'Clockify Raw'!J904)</f>
        <v/>
      </c>
      <c r="B904" s="23" t="str">
        <f>IF('Clockify Raw'!K904="","",VALUE('Clockify Raw'!K904))</f>
        <v/>
      </c>
      <c r="C904" s="23" t="str">
        <f>IF('Clockify Raw'!M904="","",VALUE('Clockify Raw'!M904))</f>
        <v/>
      </c>
      <c r="D904" t="str">
        <f>IF('Clockify Raw'!A904="","",IF(LOWER('Clockify Raw'!A904)="break","Break","Work"))</f>
        <v/>
      </c>
      <c r="E904" t="str">
        <f>IF('Clockify Raw'!A904="","",IF(LOWER('Clockify Raw'!A904)="break","Break",IF('Clockify Raw'!C904&lt;&gt;"",'Clockify Raw'!C904,IF('Clockify Raw'!D904&lt;&gt;"",'Clockify Raw'!D904,'Clockify Raw'!A904))))</f>
        <v/>
      </c>
      <c r="F904" s="24" t="str">
        <f>IF('Clockify Raw'!O904="","",'Clockify Raw'!O904/24)</f>
        <v/>
      </c>
      <c r="G904" t="str">
        <f>IF(A904="","",COUNTIFS($A$2:$A$1000,A904,$B$2:$B$1000,"&lt;"&amp;B904)+COUNTIFS($A$2:A904,A904,$B$2:B904,B904))</f>
        <v/>
      </c>
      <c r="H904" t="str">
        <f t="shared" si="14"/>
        <v/>
      </c>
    </row>
    <row r="905" spans="1:8">
      <c r="A905" s="25" t="str">
        <f>IF('Clockify Raw'!J905="","",'Clockify Raw'!J905)</f>
        <v/>
      </c>
      <c r="B905" s="23" t="str">
        <f>IF('Clockify Raw'!K905="","",VALUE('Clockify Raw'!K905))</f>
        <v/>
      </c>
      <c r="C905" s="23" t="str">
        <f>IF('Clockify Raw'!M905="","",VALUE('Clockify Raw'!M905))</f>
        <v/>
      </c>
      <c r="D905" t="str">
        <f>IF('Clockify Raw'!A905="","",IF(LOWER('Clockify Raw'!A905)="break","Break","Work"))</f>
        <v/>
      </c>
      <c r="E905" t="str">
        <f>IF('Clockify Raw'!A905="","",IF(LOWER('Clockify Raw'!A905)="break","Break",IF('Clockify Raw'!C905&lt;&gt;"",'Clockify Raw'!C905,IF('Clockify Raw'!D905&lt;&gt;"",'Clockify Raw'!D905,'Clockify Raw'!A905))))</f>
        <v/>
      </c>
      <c r="F905" s="24" t="str">
        <f>IF('Clockify Raw'!O905="","",'Clockify Raw'!O905/24)</f>
        <v/>
      </c>
      <c r="G905" t="str">
        <f>IF(A905="","",COUNTIFS($A$2:$A$1000,A905,$B$2:$B$1000,"&lt;"&amp;B905)+COUNTIFS($A$2:A905,A905,$B$2:B905,B905))</f>
        <v/>
      </c>
      <c r="H905" t="str">
        <f t="shared" si="14"/>
        <v/>
      </c>
    </row>
    <row r="906" spans="1:8">
      <c r="A906" s="25" t="str">
        <f>IF('Clockify Raw'!J906="","",'Clockify Raw'!J906)</f>
        <v/>
      </c>
      <c r="B906" s="23" t="str">
        <f>IF('Clockify Raw'!K906="","",VALUE('Clockify Raw'!K906))</f>
        <v/>
      </c>
      <c r="C906" s="23" t="str">
        <f>IF('Clockify Raw'!M906="","",VALUE('Clockify Raw'!M906))</f>
        <v/>
      </c>
      <c r="D906" t="str">
        <f>IF('Clockify Raw'!A906="","",IF(LOWER('Clockify Raw'!A906)="break","Break","Work"))</f>
        <v/>
      </c>
      <c r="E906" t="str">
        <f>IF('Clockify Raw'!A906="","",IF(LOWER('Clockify Raw'!A906)="break","Break",IF('Clockify Raw'!C906&lt;&gt;"",'Clockify Raw'!C906,IF('Clockify Raw'!D906&lt;&gt;"",'Clockify Raw'!D906,'Clockify Raw'!A906))))</f>
        <v/>
      </c>
      <c r="F906" s="24" t="str">
        <f>IF('Clockify Raw'!O906="","",'Clockify Raw'!O906/24)</f>
        <v/>
      </c>
      <c r="G906" t="str">
        <f>IF(A906="","",COUNTIFS($A$2:$A$1000,A906,$B$2:$B$1000,"&lt;"&amp;B906)+COUNTIFS($A$2:A906,A906,$B$2:B906,B906))</f>
        <v/>
      </c>
      <c r="H906" t="str">
        <f t="shared" si="14"/>
        <v/>
      </c>
    </row>
    <row r="907" spans="1:8">
      <c r="A907" s="25" t="str">
        <f>IF('Clockify Raw'!J907="","",'Clockify Raw'!J907)</f>
        <v/>
      </c>
      <c r="B907" s="23" t="str">
        <f>IF('Clockify Raw'!K907="","",VALUE('Clockify Raw'!K907))</f>
        <v/>
      </c>
      <c r="C907" s="23" t="str">
        <f>IF('Clockify Raw'!M907="","",VALUE('Clockify Raw'!M907))</f>
        <v/>
      </c>
      <c r="D907" t="str">
        <f>IF('Clockify Raw'!A907="","",IF(LOWER('Clockify Raw'!A907)="break","Break","Work"))</f>
        <v/>
      </c>
      <c r="E907" t="str">
        <f>IF('Clockify Raw'!A907="","",IF(LOWER('Clockify Raw'!A907)="break","Break",IF('Clockify Raw'!C907&lt;&gt;"",'Clockify Raw'!C907,IF('Clockify Raw'!D907&lt;&gt;"",'Clockify Raw'!D907,'Clockify Raw'!A907))))</f>
        <v/>
      </c>
      <c r="F907" s="24" t="str">
        <f>IF('Clockify Raw'!O907="","",'Clockify Raw'!O907/24)</f>
        <v/>
      </c>
      <c r="G907" t="str">
        <f>IF(A907="","",COUNTIFS($A$2:$A$1000,A907,$B$2:$B$1000,"&lt;"&amp;B907)+COUNTIFS($A$2:A907,A907,$B$2:B907,B907))</f>
        <v/>
      </c>
      <c r="H907" t="str">
        <f t="shared" si="14"/>
        <v/>
      </c>
    </row>
    <row r="908" spans="1:8">
      <c r="A908" s="25" t="str">
        <f>IF('Clockify Raw'!J908="","",'Clockify Raw'!J908)</f>
        <v/>
      </c>
      <c r="B908" s="23" t="str">
        <f>IF('Clockify Raw'!K908="","",VALUE('Clockify Raw'!K908))</f>
        <v/>
      </c>
      <c r="C908" s="23" t="str">
        <f>IF('Clockify Raw'!M908="","",VALUE('Clockify Raw'!M908))</f>
        <v/>
      </c>
      <c r="D908" t="str">
        <f>IF('Clockify Raw'!A908="","",IF(LOWER('Clockify Raw'!A908)="break","Break","Work"))</f>
        <v/>
      </c>
      <c r="E908" t="str">
        <f>IF('Clockify Raw'!A908="","",IF(LOWER('Clockify Raw'!A908)="break","Break",IF('Clockify Raw'!C908&lt;&gt;"",'Clockify Raw'!C908,IF('Clockify Raw'!D908&lt;&gt;"",'Clockify Raw'!D908,'Clockify Raw'!A908))))</f>
        <v/>
      </c>
      <c r="F908" s="24" t="str">
        <f>IF('Clockify Raw'!O908="","",'Clockify Raw'!O908/24)</f>
        <v/>
      </c>
      <c r="G908" t="str">
        <f>IF(A908="","",COUNTIFS($A$2:$A$1000,A908,$B$2:$B$1000,"&lt;"&amp;B908)+COUNTIFS($A$2:A908,A908,$B$2:B908,B908))</f>
        <v/>
      </c>
      <c r="H908" t="str">
        <f t="shared" si="14"/>
        <v/>
      </c>
    </row>
    <row r="909" spans="1:8">
      <c r="A909" s="25" t="str">
        <f>IF('Clockify Raw'!J909="","",'Clockify Raw'!J909)</f>
        <v/>
      </c>
      <c r="B909" s="23" t="str">
        <f>IF('Clockify Raw'!K909="","",VALUE('Clockify Raw'!K909))</f>
        <v/>
      </c>
      <c r="C909" s="23" t="str">
        <f>IF('Clockify Raw'!M909="","",VALUE('Clockify Raw'!M909))</f>
        <v/>
      </c>
      <c r="D909" t="str">
        <f>IF('Clockify Raw'!A909="","",IF(LOWER('Clockify Raw'!A909)="break","Break","Work"))</f>
        <v/>
      </c>
      <c r="E909" t="str">
        <f>IF('Clockify Raw'!A909="","",IF(LOWER('Clockify Raw'!A909)="break","Break",IF('Clockify Raw'!C909&lt;&gt;"",'Clockify Raw'!C909,IF('Clockify Raw'!D909&lt;&gt;"",'Clockify Raw'!D909,'Clockify Raw'!A909))))</f>
        <v/>
      </c>
      <c r="F909" s="24" t="str">
        <f>IF('Clockify Raw'!O909="","",'Clockify Raw'!O909/24)</f>
        <v/>
      </c>
      <c r="G909" t="str">
        <f>IF(A909="","",COUNTIFS($A$2:$A$1000,A909,$B$2:$B$1000,"&lt;"&amp;B909)+COUNTIFS($A$2:A909,A909,$B$2:B909,B909))</f>
        <v/>
      </c>
      <c r="H909" t="str">
        <f t="shared" si="14"/>
        <v/>
      </c>
    </row>
    <row r="910" spans="1:8">
      <c r="A910" s="25" t="str">
        <f>IF('Clockify Raw'!J910="","",'Clockify Raw'!J910)</f>
        <v/>
      </c>
      <c r="B910" s="23" t="str">
        <f>IF('Clockify Raw'!K910="","",VALUE('Clockify Raw'!K910))</f>
        <v/>
      </c>
      <c r="C910" s="23" t="str">
        <f>IF('Clockify Raw'!M910="","",VALUE('Clockify Raw'!M910))</f>
        <v/>
      </c>
      <c r="D910" t="str">
        <f>IF('Clockify Raw'!A910="","",IF(LOWER('Clockify Raw'!A910)="break","Break","Work"))</f>
        <v/>
      </c>
      <c r="E910" t="str">
        <f>IF('Clockify Raw'!A910="","",IF(LOWER('Clockify Raw'!A910)="break","Break",IF('Clockify Raw'!C910&lt;&gt;"",'Clockify Raw'!C910,IF('Clockify Raw'!D910&lt;&gt;"",'Clockify Raw'!D910,'Clockify Raw'!A910))))</f>
        <v/>
      </c>
      <c r="F910" s="24" t="str">
        <f>IF('Clockify Raw'!O910="","",'Clockify Raw'!O910/24)</f>
        <v/>
      </c>
      <c r="G910" t="str">
        <f>IF(A910="","",COUNTIFS($A$2:$A$1000,A910,$B$2:$B$1000,"&lt;"&amp;B910)+COUNTIFS($A$2:A910,A910,$B$2:B910,B910))</f>
        <v/>
      </c>
      <c r="H910" t="str">
        <f t="shared" si="14"/>
        <v/>
      </c>
    </row>
    <row r="911" spans="1:8">
      <c r="A911" s="25" t="str">
        <f>IF('Clockify Raw'!J911="","",'Clockify Raw'!J911)</f>
        <v/>
      </c>
      <c r="B911" s="23" t="str">
        <f>IF('Clockify Raw'!K911="","",VALUE('Clockify Raw'!K911))</f>
        <v/>
      </c>
      <c r="C911" s="23" t="str">
        <f>IF('Clockify Raw'!M911="","",VALUE('Clockify Raw'!M911))</f>
        <v/>
      </c>
      <c r="D911" t="str">
        <f>IF('Clockify Raw'!A911="","",IF(LOWER('Clockify Raw'!A911)="break","Break","Work"))</f>
        <v/>
      </c>
      <c r="E911" t="str">
        <f>IF('Clockify Raw'!A911="","",IF(LOWER('Clockify Raw'!A911)="break","Break",IF('Clockify Raw'!C911&lt;&gt;"",'Clockify Raw'!C911,IF('Clockify Raw'!D911&lt;&gt;"",'Clockify Raw'!D911,'Clockify Raw'!A911))))</f>
        <v/>
      </c>
      <c r="F911" s="24" t="str">
        <f>IF('Clockify Raw'!O911="","",'Clockify Raw'!O911/24)</f>
        <v/>
      </c>
      <c r="G911" t="str">
        <f>IF(A911="","",COUNTIFS($A$2:$A$1000,A911,$B$2:$B$1000,"&lt;"&amp;B911)+COUNTIFS($A$2:A911,A911,$B$2:B911,B911))</f>
        <v/>
      </c>
      <c r="H911" t="str">
        <f t="shared" si="14"/>
        <v/>
      </c>
    </row>
    <row r="912" spans="1:8">
      <c r="A912" s="25" t="str">
        <f>IF('Clockify Raw'!J912="","",'Clockify Raw'!J912)</f>
        <v/>
      </c>
      <c r="B912" s="23" t="str">
        <f>IF('Clockify Raw'!K912="","",VALUE('Clockify Raw'!K912))</f>
        <v/>
      </c>
      <c r="C912" s="23" t="str">
        <f>IF('Clockify Raw'!M912="","",VALUE('Clockify Raw'!M912))</f>
        <v/>
      </c>
      <c r="D912" t="str">
        <f>IF('Clockify Raw'!A912="","",IF(LOWER('Clockify Raw'!A912)="break","Break","Work"))</f>
        <v/>
      </c>
      <c r="E912" t="str">
        <f>IF('Clockify Raw'!A912="","",IF(LOWER('Clockify Raw'!A912)="break","Break",IF('Clockify Raw'!C912&lt;&gt;"",'Clockify Raw'!C912,IF('Clockify Raw'!D912&lt;&gt;"",'Clockify Raw'!D912,'Clockify Raw'!A912))))</f>
        <v/>
      </c>
      <c r="F912" s="24" t="str">
        <f>IF('Clockify Raw'!O912="","",'Clockify Raw'!O912/24)</f>
        <v/>
      </c>
      <c r="G912" t="str">
        <f>IF(A912="","",COUNTIFS($A$2:$A$1000,A912,$B$2:$B$1000,"&lt;"&amp;B912)+COUNTIFS($A$2:A912,A912,$B$2:B912,B912))</f>
        <v/>
      </c>
      <c r="H912" t="str">
        <f t="shared" si="14"/>
        <v/>
      </c>
    </row>
    <row r="913" spans="1:8">
      <c r="A913" s="25" t="str">
        <f>IF('Clockify Raw'!J913="","",'Clockify Raw'!J913)</f>
        <v/>
      </c>
      <c r="B913" s="23" t="str">
        <f>IF('Clockify Raw'!K913="","",VALUE('Clockify Raw'!K913))</f>
        <v/>
      </c>
      <c r="C913" s="23" t="str">
        <f>IF('Clockify Raw'!M913="","",VALUE('Clockify Raw'!M913))</f>
        <v/>
      </c>
      <c r="D913" t="str">
        <f>IF('Clockify Raw'!A913="","",IF(LOWER('Clockify Raw'!A913)="break","Break","Work"))</f>
        <v/>
      </c>
      <c r="E913" t="str">
        <f>IF('Clockify Raw'!A913="","",IF(LOWER('Clockify Raw'!A913)="break","Break",IF('Clockify Raw'!C913&lt;&gt;"",'Clockify Raw'!C913,IF('Clockify Raw'!D913&lt;&gt;"",'Clockify Raw'!D913,'Clockify Raw'!A913))))</f>
        <v/>
      </c>
      <c r="F913" s="24" t="str">
        <f>IF('Clockify Raw'!O913="","",'Clockify Raw'!O913/24)</f>
        <v/>
      </c>
      <c r="G913" t="str">
        <f>IF(A913="","",COUNTIFS($A$2:$A$1000,A913,$B$2:$B$1000,"&lt;"&amp;B913)+COUNTIFS($A$2:A913,A913,$B$2:B913,B913))</f>
        <v/>
      </c>
      <c r="H913" t="str">
        <f t="shared" si="14"/>
        <v/>
      </c>
    </row>
    <row r="914" spans="1:8">
      <c r="A914" s="25" t="str">
        <f>IF('Clockify Raw'!J914="","",'Clockify Raw'!J914)</f>
        <v/>
      </c>
      <c r="B914" s="23" t="str">
        <f>IF('Clockify Raw'!K914="","",VALUE('Clockify Raw'!K914))</f>
        <v/>
      </c>
      <c r="C914" s="23" t="str">
        <f>IF('Clockify Raw'!M914="","",VALUE('Clockify Raw'!M914))</f>
        <v/>
      </c>
      <c r="D914" t="str">
        <f>IF('Clockify Raw'!A914="","",IF(LOWER('Clockify Raw'!A914)="break","Break","Work"))</f>
        <v/>
      </c>
      <c r="E914" t="str">
        <f>IF('Clockify Raw'!A914="","",IF(LOWER('Clockify Raw'!A914)="break","Break",IF('Clockify Raw'!C914&lt;&gt;"",'Clockify Raw'!C914,IF('Clockify Raw'!D914&lt;&gt;"",'Clockify Raw'!D914,'Clockify Raw'!A914))))</f>
        <v/>
      </c>
      <c r="F914" s="24" t="str">
        <f>IF('Clockify Raw'!O914="","",'Clockify Raw'!O914/24)</f>
        <v/>
      </c>
      <c r="G914" t="str">
        <f>IF(A914="","",COUNTIFS($A$2:$A$1000,A914,$B$2:$B$1000,"&lt;"&amp;B914)+COUNTIFS($A$2:A914,A914,$B$2:B914,B914))</f>
        <v/>
      </c>
      <c r="H914" t="str">
        <f t="shared" si="14"/>
        <v/>
      </c>
    </row>
    <row r="915" spans="1:8">
      <c r="A915" s="25" t="str">
        <f>IF('Clockify Raw'!J915="","",'Clockify Raw'!J915)</f>
        <v/>
      </c>
      <c r="B915" s="23" t="str">
        <f>IF('Clockify Raw'!K915="","",VALUE('Clockify Raw'!K915))</f>
        <v/>
      </c>
      <c r="C915" s="23" t="str">
        <f>IF('Clockify Raw'!M915="","",VALUE('Clockify Raw'!M915))</f>
        <v/>
      </c>
      <c r="D915" t="str">
        <f>IF('Clockify Raw'!A915="","",IF(LOWER('Clockify Raw'!A915)="break","Break","Work"))</f>
        <v/>
      </c>
      <c r="E915" t="str">
        <f>IF('Clockify Raw'!A915="","",IF(LOWER('Clockify Raw'!A915)="break","Break",IF('Clockify Raw'!C915&lt;&gt;"",'Clockify Raw'!C915,IF('Clockify Raw'!D915&lt;&gt;"",'Clockify Raw'!D915,'Clockify Raw'!A915))))</f>
        <v/>
      </c>
      <c r="F915" s="24" t="str">
        <f>IF('Clockify Raw'!O915="","",'Clockify Raw'!O915/24)</f>
        <v/>
      </c>
      <c r="G915" t="str">
        <f>IF(A915="","",COUNTIFS($A$2:$A$1000,A915,$B$2:$B$1000,"&lt;"&amp;B915)+COUNTIFS($A$2:A915,A915,$B$2:B915,B915))</f>
        <v/>
      </c>
      <c r="H915" t="str">
        <f t="shared" si="14"/>
        <v/>
      </c>
    </row>
    <row r="916" spans="1:8">
      <c r="A916" s="25" t="str">
        <f>IF('Clockify Raw'!J916="","",'Clockify Raw'!J916)</f>
        <v/>
      </c>
      <c r="B916" s="23" t="str">
        <f>IF('Clockify Raw'!K916="","",VALUE('Clockify Raw'!K916))</f>
        <v/>
      </c>
      <c r="C916" s="23" t="str">
        <f>IF('Clockify Raw'!M916="","",VALUE('Clockify Raw'!M916))</f>
        <v/>
      </c>
      <c r="D916" t="str">
        <f>IF('Clockify Raw'!A916="","",IF(LOWER('Clockify Raw'!A916)="break","Break","Work"))</f>
        <v/>
      </c>
      <c r="E916" t="str">
        <f>IF('Clockify Raw'!A916="","",IF(LOWER('Clockify Raw'!A916)="break","Break",IF('Clockify Raw'!C916&lt;&gt;"",'Clockify Raw'!C916,IF('Clockify Raw'!D916&lt;&gt;"",'Clockify Raw'!D916,'Clockify Raw'!A916))))</f>
        <v/>
      </c>
      <c r="F916" s="24" t="str">
        <f>IF('Clockify Raw'!O916="","",'Clockify Raw'!O916/24)</f>
        <v/>
      </c>
      <c r="G916" t="str">
        <f>IF(A916="","",COUNTIFS($A$2:$A$1000,A916,$B$2:$B$1000,"&lt;"&amp;B916)+COUNTIFS($A$2:A916,A916,$B$2:B916,B916))</f>
        <v/>
      </c>
      <c r="H916" t="str">
        <f t="shared" si="14"/>
        <v/>
      </c>
    </row>
    <row r="917" spans="1:8">
      <c r="A917" s="25" t="str">
        <f>IF('Clockify Raw'!J917="","",'Clockify Raw'!J917)</f>
        <v/>
      </c>
      <c r="B917" s="23" t="str">
        <f>IF('Clockify Raw'!K917="","",VALUE('Clockify Raw'!K917))</f>
        <v/>
      </c>
      <c r="C917" s="23" t="str">
        <f>IF('Clockify Raw'!M917="","",VALUE('Clockify Raw'!M917))</f>
        <v/>
      </c>
      <c r="D917" t="str">
        <f>IF('Clockify Raw'!A917="","",IF(LOWER('Clockify Raw'!A917)="break","Break","Work"))</f>
        <v/>
      </c>
      <c r="E917" t="str">
        <f>IF('Clockify Raw'!A917="","",IF(LOWER('Clockify Raw'!A917)="break","Break",IF('Clockify Raw'!C917&lt;&gt;"",'Clockify Raw'!C917,IF('Clockify Raw'!D917&lt;&gt;"",'Clockify Raw'!D917,'Clockify Raw'!A917))))</f>
        <v/>
      </c>
      <c r="F917" s="24" t="str">
        <f>IF('Clockify Raw'!O917="","",'Clockify Raw'!O917/24)</f>
        <v/>
      </c>
      <c r="G917" t="str">
        <f>IF(A917="","",COUNTIFS($A$2:$A$1000,A917,$B$2:$B$1000,"&lt;"&amp;B917)+COUNTIFS($A$2:A917,A917,$B$2:B917,B917))</f>
        <v/>
      </c>
      <c r="H917" t="str">
        <f t="shared" si="14"/>
        <v/>
      </c>
    </row>
    <row r="918" spans="1:8">
      <c r="A918" s="25" t="str">
        <f>IF('Clockify Raw'!J918="","",'Clockify Raw'!J918)</f>
        <v/>
      </c>
      <c r="B918" s="23" t="str">
        <f>IF('Clockify Raw'!K918="","",VALUE('Clockify Raw'!K918))</f>
        <v/>
      </c>
      <c r="C918" s="23" t="str">
        <f>IF('Clockify Raw'!M918="","",VALUE('Clockify Raw'!M918))</f>
        <v/>
      </c>
      <c r="D918" t="str">
        <f>IF('Clockify Raw'!A918="","",IF(LOWER('Clockify Raw'!A918)="break","Break","Work"))</f>
        <v/>
      </c>
      <c r="E918" t="str">
        <f>IF('Clockify Raw'!A918="","",IF(LOWER('Clockify Raw'!A918)="break","Break",IF('Clockify Raw'!C918&lt;&gt;"",'Clockify Raw'!C918,IF('Clockify Raw'!D918&lt;&gt;"",'Clockify Raw'!D918,'Clockify Raw'!A918))))</f>
        <v/>
      </c>
      <c r="F918" s="24" t="str">
        <f>IF('Clockify Raw'!O918="","",'Clockify Raw'!O918/24)</f>
        <v/>
      </c>
      <c r="G918" t="str">
        <f>IF(A918="","",COUNTIFS($A$2:$A$1000,A918,$B$2:$B$1000,"&lt;"&amp;B918)+COUNTIFS($A$2:A918,A918,$B$2:B918,B918))</f>
        <v/>
      </c>
      <c r="H918" t="str">
        <f t="shared" si="14"/>
        <v/>
      </c>
    </row>
    <row r="919" spans="1:8">
      <c r="A919" s="25" t="str">
        <f>IF('Clockify Raw'!J919="","",'Clockify Raw'!J919)</f>
        <v/>
      </c>
      <c r="B919" s="23" t="str">
        <f>IF('Clockify Raw'!K919="","",VALUE('Clockify Raw'!K919))</f>
        <v/>
      </c>
      <c r="C919" s="23" t="str">
        <f>IF('Clockify Raw'!M919="","",VALUE('Clockify Raw'!M919))</f>
        <v/>
      </c>
      <c r="D919" t="str">
        <f>IF('Clockify Raw'!A919="","",IF(LOWER('Clockify Raw'!A919)="break","Break","Work"))</f>
        <v/>
      </c>
      <c r="E919" t="str">
        <f>IF('Clockify Raw'!A919="","",IF(LOWER('Clockify Raw'!A919)="break","Break",IF('Clockify Raw'!C919&lt;&gt;"",'Clockify Raw'!C919,IF('Clockify Raw'!D919&lt;&gt;"",'Clockify Raw'!D919,'Clockify Raw'!A919))))</f>
        <v/>
      </c>
      <c r="F919" s="24" t="str">
        <f>IF('Clockify Raw'!O919="","",'Clockify Raw'!O919/24)</f>
        <v/>
      </c>
      <c r="G919" t="str">
        <f>IF(A919="","",COUNTIFS($A$2:$A$1000,A919,$B$2:$B$1000,"&lt;"&amp;B919)+COUNTIFS($A$2:A919,A919,$B$2:B919,B919))</f>
        <v/>
      </c>
      <c r="H919" t="str">
        <f t="shared" si="14"/>
        <v/>
      </c>
    </row>
    <row r="920" spans="1:8">
      <c r="A920" s="25" t="str">
        <f>IF('Clockify Raw'!J920="","",'Clockify Raw'!J920)</f>
        <v/>
      </c>
      <c r="B920" s="23" t="str">
        <f>IF('Clockify Raw'!K920="","",VALUE('Clockify Raw'!K920))</f>
        <v/>
      </c>
      <c r="C920" s="23" t="str">
        <f>IF('Clockify Raw'!M920="","",VALUE('Clockify Raw'!M920))</f>
        <v/>
      </c>
      <c r="D920" t="str">
        <f>IF('Clockify Raw'!A920="","",IF(LOWER('Clockify Raw'!A920)="break","Break","Work"))</f>
        <v/>
      </c>
      <c r="E920" t="str">
        <f>IF('Clockify Raw'!A920="","",IF(LOWER('Clockify Raw'!A920)="break","Break",IF('Clockify Raw'!C920&lt;&gt;"",'Clockify Raw'!C920,IF('Clockify Raw'!D920&lt;&gt;"",'Clockify Raw'!D920,'Clockify Raw'!A920))))</f>
        <v/>
      </c>
      <c r="F920" s="24" t="str">
        <f>IF('Clockify Raw'!O920="","",'Clockify Raw'!O920/24)</f>
        <v/>
      </c>
      <c r="G920" t="str">
        <f>IF(A920="","",COUNTIFS($A$2:$A$1000,A920,$B$2:$B$1000,"&lt;"&amp;B920)+COUNTIFS($A$2:A920,A920,$B$2:B920,B920))</f>
        <v/>
      </c>
      <c r="H920" t="str">
        <f t="shared" si="14"/>
        <v/>
      </c>
    </row>
    <row r="921" spans="1:8">
      <c r="A921" s="25" t="str">
        <f>IF('Clockify Raw'!J921="","",'Clockify Raw'!J921)</f>
        <v/>
      </c>
      <c r="B921" s="23" t="str">
        <f>IF('Clockify Raw'!K921="","",VALUE('Clockify Raw'!K921))</f>
        <v/>
      </c>
      <c r="C921" s="23" t="str">
        <f>IF('Clockify Raw'!M921="","",VALUE('Clockify Raw'!M921))</f>
        <v/>
      </c>
      <c r="D921" t="str">
        <f>IF('Clockify Raw'!A921="","",IF(LOWER('Clockify Raw'!A921)="break","Break","Work"))</f>
        <v/>
      </c>
      <c r="E921" t="str">
        <f>IF('Clockify Raw'!A921="","",IF(LOWER('Clockify Raw'!A921)="break","Break",IF('Clockify Raw'!C921&lt;&gt;"",'Clockify Raw'!C921,IF('Clockify Raw'!D921&lt;&gt;"",'Clockify Raw'!D921,'Clockify Raw'!A921))))</f>
        <v/>
      </c>
      <c r="F921" s="24" t="str">
        <f>IF('Clockify Raw'!O921="","",'Clockify Raw'!O921/24)</f>
        <v/>
      </c>
      <c r="G921" t="str">
        <f>IF(A921="","",COUNTIFS($A$2:$A$1000,A921,$B$2:$B$1000,"&lt;"&amp;B921)+COUNTIFS($A$2:A921,A921,$B$2:B921,B921))</f>
        <v/>
      </c>
      <c r="H921" t="str">
        <f t="shared" si="14"/>
        <v/>
      </c>
    </row>
    <row r="922" spans="1:8">
      <c r="A922" s="25" t="str">
        <f>IF('Clockify Raw'!J922="","",'Clockify Raw'!J922)</f>
        <v/>
      </c>
      <c r="B922" s="23" t="str">
        <f>IF('Clockify Raw'!K922="","",VALUE('Clockify Raw'!K922))</f>
        <v/>
      </c>
      <c r="C922" s="23" t="str">
        <f>IF('Clockify Raw'!M922="","",VALUE('Clockify Raw'!M922))</f>
        <v/>
      </c>
      <c r="D922" t="str">
        <f>IF('Clockify Raw'!A922="","",IF(LOWER('Clockify Raw'!A922)="break","Break","Work"))</f>
        <v/>
      </c>
      <c r="E922" t="str">
        <f>IF('Clockify Raw'!A922="","",IF(LOWER('Clockify Raw'!A922)="break","Break",IF('Clockify Raw'!C922&lt;&gt;"",'Clockify Raw'!C922,IF('Clockify Raw'!D922&lt;&gt;"",'Clockify Raw'!D922,'Clockify Raw'!A922))))</f>
        <v/>
      </c>
      <c r="F922" s="24" t="str">
        <f>IF('Clockify Raw'!O922="","",'Clockify Raw'!O922/24)</f>
        <v/>
      </c>
      <c r="G922" t="str">
        <f>IF(A922="","",COUNTIFS($A$2:$A$1000,A922,$B$2:$B$1000,"&lt;"&amp;B922)+COUNTIFS($A$2:A922,A922,$B$2:B922,B922))</f>
        <v/>
      </c>
      <c r="H922" t="str">
        <f t="shared" si="14"/>
        <v/>
      </c>
    </row>
    <row r="923" spans="1:8">
      <c r="A923" s="25" t="str">
        <f>IF('Clockify Raw'!J923="","",'Clockify Raw'!J923)</f>
        <v/>
      </c>
      <c r="B923" s="23" t="str">
        <f>IF('Clockify Raw'!K923="","",VALUE('Clockify Raw'!K923))</f>
        <v/>
      </c>
      <c r="C923" s="23" t="str">
        <f>IF('Clockify Raw'!M923="","",VALUE('Clockify Raw'!M923))</f>
        <v/>
      </c>
      <c r="D923" t="str">
        <f>IF('Clockify Raw'!A923="","",IF(LOWER('Clockify Raw'!A923)="break","Break","Work"))</f>
        <v/>
      </c>
      <c r="E923" t="str">
        <f>IF('Clockify Raw'!A923="","",IF(LOWER('Clockify Raw'!A923)="break","Break",IF('Clockify Raw'!C923&lt;&gt;"",'Clockify Raw'!C923,IF('Clockify Raw'!D923&lt;&gt;"",'Clockify Raw'!D923,'Clockify Raw'!A923))))</f>
        <v/>
      </c>
      <c r="F923" s="24" t="str">
        <f>IF('Clockify Raw'!O923="","",'Clockify Raw'!O923/24)</f>
        <v/>
      </c>
      <c r="G923" t="str">
        <f>IF(A923="","",COUNTIFS($A$2:$A$1000,A923,$B$2:$B$1000,"&lt;"&amp;B923)+COUNTIFS($A$2:A923,A923,$B$2:B923,B923))</f>
        <v/>
      </c>
      <c r="H923" t="str">
        <f t="shared" si="14"/>
        <v/>
      </c>
    </row>
    <row r="924" spans="1:8">
      <c r="A924" s="25" t="str">
        <f>IF('Clockify Raw'!J924="","",'Clockify Raw'!J924)</f>
        <v/>
      </c>
      <c r="B924" s="23" t="str">
        <f>IF('Clockify Raw'!K924="","",VALUE('Clockify Raw'!K924))</f>
        <v/>
      </c>
      <c r="C924" s="23" t="str">
        <f>IF('Clockify Raw'!M924="","",VALUE('Clockify Raw'!M924))</f>
        <v/>
      </c>
      <c r="D924" t="str">
        <f>IF('Clockify Raw'!A924="","",IF(LOWER('Clockify Raw'!A924)="break","Break","Work"))</f>
        <v/>
      </c>
      <c r="E924" t="str">
        <f>IF('Clockify Raw'!A924="","",IF(LOWER('Clockify Raw'!A924)="break","Break",IF('Clockify Raw'!C924&lt;&gt;"",'Clockify Raw'!C924,IF('Clockify Raw'!D924&lt;&gt;"",'Clockify Raw'!D924,'Clockify Raw'!A924))))</f>
        <v/>
      </c>
      <c r="F924" s="24" t="str">
        <f>IF('Clockify Raw'!O924="","",'Clockify Raw'!O924/24)</f>
        <v/>
      </c>
      <c r="G924" t="str">
        <f>IF(A924="","",COUNTIFS($A$2:$A$1000,A924,$B$2:$B$1000,"&lt;"&amp;B924)+COUNTIFS($A$2:A924,A924,$B$2:B924,B924))</f>
        <v/>
      </c>
      <c r="H924" t="str">
        <f t="shared" si="14"/>
        <v/>
      </c>
    </row>
    <row r="925" spans="1:8">
      <c r="A925" s="25" t="str">
        <f>IF('Clockify Raw'!J925="","",'Clockify Raw'!J925)</f>
        <v/>
      </c>
      <c r="B925" s="23" t="str">
        <f>IF('Clockify Raw'!K925="","",VALUE('Clockify Raw'!K925))</f>
        <v/>
      </c>
      <c r="C925" s="23" t="str">
        <f>IF('Clockify Raw'!M925="","",VALUE('Clockify Raw'!M925))</f>
        <v/>
      </c>
      <c r="D925" t="str">
        <f>IF('Clockify Raw'!A925="","",IF(LOWER('Clockify Raw'!A925)="break","Break","Work"))</f>
        <v/>
      </c>
      <c r="E925" t="str">
        <f>IF('Clockify Raw'!A925="","",IF(LOWER('Clockify Raw'!A925)="break","Break",IF('Clockify Raw'!C925&lt;&gt;"",'Clockify Raw'!C925,IF('Clockify Raw'!D925&lt;&gt;"",'Clockify Raw'!D925,'Clockify Raw'!A925))))</f>
        <v/>
      </c>
      <c r="F925" s="24" t="str">
        <f>IF('Clockify Raw'!O925="","",'Clockify Raw'!O925/24)</f>
        <v/>
      </c>
      <c r="G925" t="str">
        <f>IF(A925="","",COUNTIFS($A$2:$A$1000,A925,$B$2:$B$1000,"&lt;"&amp;B925)+COUNTIFS($A$2:A925,A925,$B$2:B925,B925))</f>
        <v/>
      </c>
      <c r="H925" t="str">
        <f t="shared" si="14"/>
        <v/>
      </c>
    </row>
    <row r="926" spans="1:8">
      <c r="A926" s="25" t="str">
        <f>IF('Clockify Raw'!J926="","",'Clockify Raw'!J926)</f>
        <v/>
      </c>
      <c r="B926" s="23" t="str">
        <f>IF('Clockify Raw'!K926="","",VALUE('Clockify Raw'!K926))</f>
        <v/>
      </c>
      <c r="C926" s="23" t="str">
        <f>IF('Clockify Raw'!M926="","",VALUE('Clockify Raw'!M926))</f>
        <v/>
      </c>
      <c r="D926" t="str">
        <f>IF('Clockify Raw'!A926="","",IF(LOWER('Clockify Raw'!A926)="break","Break","Work"))</f>
        <v/>
      </c>
      <c r="E926" t="str">
        <f>IF('Clockify Raw'!A926="","",IF(LOWER('Clockify Raw'!A926)="break","Break",IF('Clockify Raw'!C926&lt;&gt;"",'Clockify Raw'!C926,IF('Clockify Raw'!D926&lt;&gt;"",'Clockify Raw'!D926,'Clockify Raw'!A926))))</f>
        <v/>
      </c>
      <c r="F926" s="24" t="str">
        <f>IF('Clockify Raw'!O926="","",'Clockify Raw'!O926/24)</f>
        <v/>
      </c>
      <c r="G926" t="str">
        <f>IF(A926="","",COUNTIFS($A$2:$A$1000,A926,$B$2:$B$1000,"&lt;"&amp;B926)+COUNTIFS($A$2:A926,A926,$B$2:B926,B926))</f>
        <v/>
      </c>
      <c r="H926" t="str">
        <f t="shared" si="14"/>
        <v/>
      </c>
    </row>
    <row r="927" spans="1:8">
      <c r="A927" s="25" t="str">
        <f>IF('Clockify Raw'!J927="","",'Clockify Raw'!J927)</f>
        <v/>
      </c>
      <c r="B927" s="23" t="str">
        <f>IF('Clockify Raw'!K927="","",VALUE('Clockify Raw'!K927))</f>
        <v/>
      </c>
      <c r="C927" s="23" t="str">
        <f>IF('Clockify Raw'!M927="","",VALUE('Clockify Raw'!M927))</f>
        <v/>
      </c>
      <c r="D927" t="str">
        <f>IF('Clockify Raw'!A927="","",IF(LOWER('Clockify Raw'!A927)="break","Break","Work"))</f>
        <v/>
      </c>
      <c r="E927" t="str">
        <f>IF('Clockify Raw'!A927="","",IF(LOWER('Clockify Raw'!A927)="break","Break",IF('Clockify Raw'!C927&lt;&gt;"",'Clockify Raw'!C927,IF('Clockify Raw'!D927&lt;&gt;"",'Clockify Raw'!D927,'Clockify Raw'!A927))))</f>
        <v/>
      </c>
      <c r="F927" s="24" t="str">
        <f>IF('Clockify Raw'!O927="","",'Clockify Raw'!O927/24)</f>
        <v/>
      </c>
      <c r="G927" t="str">
        <f>IF(A927="","",COUNTIFS($A$2:$A$1000,A927,$B$2:$B$1000,"&lt;"&amp;B927)+COUNTIFS($A$2:A927,A927,$B$2:B927,B927))</f>
        <v/>
      </c>
      <c r="H927" t="str">
        <f t="shared" si="14"/>
        <v/>
      </c>
    </row>
    <row r="928" spans="1:8">
      <c r="A928" s="25" t="str">
        <f>IF('Clockify Raw'!J928="","",'Clockify Raw'!J928)</f>
        <v/>
      </c>
      <c r="B928" s="23" t="str">
        <f>IF('Clockify Raw'!K928="","",VALUE('Clockify Raw'!K928))</f>
        <v/>
      </c>
      <c r="C928" s="23" t="str">
        <f>IF('Clockify Raw'!M928="","",VALUE('Clockify Raw'!M928))</f>
        <v/>
      </c>
      <c r="D928" t="str">
        <f>IF('Clockify Raw'!A928="","",IF(LOWER('Clockify Raw'!A928)="break","Break","Work"))</f>
        <v/>
      </c>
      <c r="E928" t="str">
        <f>IF('Clockify Raw'!A928="","",IF(LOWER('Clockify Raw'!A928)="break","Break",IF('Clockify Raw'!C928&lt;&gt;"",'Clockify Raw'!C928,IF('Clockify Raw'!D928&lt;&gt;"",'Clockify Raw'!D928,'Clockify Raw'!A928))))</f>
        <v/>
      </c>
      <c r="F928" s="24" t="str">
        <f>IF('Clockify Raw'!O928="","",'Clockify Raw'!O928/24)</f>
        <v/>
      </c>
      <c r="G928" t="str">
        <f>IF(A928="","",COUNTIFS($A$2:$A$1000,A928,$B$2:$B$1000,"&lt;"&amp;B928)+COUNTIFS($A$2:A928,A928,$B$2:B928,B928))</f>
        <v/>
      </c>
      <c r="H928" t="str">
        <f t="shared" si="14"/>
        <v/>
      </c>
    </row>
    <row r="929" spans="1:8">
      <c r="A929" s="25" t="str">
        <f>IF('Clockify Raw'!J929="","",'Clockify Raw'!J929)</f>
        <v/>
      </c>
      <c r="B929" s="23" t="str">
        <f>IF('Clockify Raw'!K929="","",VALUE('Clockify Raw'!K929))</f>
        <v/>
      </c>
      <c r="C929" s="23" t="str">
        <f>IF('Clockify Raw'!M929="","",VALUE('Clockify Raw'!M929))</f>
        <v/>
      </c>
      <c r="D929" t="str">
        <f>IF('Clockify Raw'!A929="","",IF(LOWER('Clockify Raw'!A929)="break","Break","Work"))</f>
        <v/>
      </c>
      <c r="E929" t="str">
        <f>IF('Clockify Raw'!A929="","",IF(LOWER('Clockify Raw'!A929)="break","Break",IF('Clockify Raw'!C929&lt;&gt;"",'Clockify Raw'!C929,IF('Clockify Raw'!D929&lt;&gt;"",'Clockify Raw'!D929,'Clockify Raw'!A929))))</f>
        <v/>
      </c>
      <c r="F929" s="24" t="str">
        <f>IF('Clockify Raw'!O929="","",'Clockify Raw'!O929/24)</f>
        <v/>
      </c>
      <c r="G929" t="str">
        <f>IF(A929="","",COUNTIFS($A$2:$A$1000,A929,$B$2:$B$1000,"&lt;"&amp;B929)+COUNTIFS($A$2:A929,A929,$B$2:B929,B929))</f>
        <v/>
      </c>
      <c r="H929" t="str">
        <f t="shared" si="14"/>
        <v/>
      </c>
    </row>
    <row r="930" spans="1:8">
      <c r="A930" s="25" t="str">
        <f>IF('Clockify Raw'!J930="","",'Clockify Raw'!J930)</f>
        <v/>
      </c>
      <c r="B930" s="23" t="str">
        <f>IF('Clockify Raw'!K930="","",VALUE('Clockify Raw'!K930))</f>
        <v/>
      </c>
      <c r="C930" s="23" t="str">
        <f>IF('Clockify Raw'!M930="","",VALUE('Clockify Raw'!M930))</f>
        <v/>
      </c>
      <c r="D930" t="str">
        <f>IF('Clockify Raw'!A930="","",IF(LOWER('Clockify Raw'!A930)="break","Break","Work"))</f>
        <v/>
      </c>
      <c r="E930" t="str">
        <f>IF('Clockify Raw'!A930="","",IF(LOWER('Clockify Raw'!A930)="break","Break",IF('Clockify Raw'!C930&lt;&gt;"",'Clockify Raw'!C930,IF('Clockify Raw'!D930&lt;&gt;"",'Clockify Raw'!D930,'Clockify Raw'!A930))))</f>
        <v/>
      </c>
      <c r="F930" s="24" t="str">
        <f>IF('Clockify Raw'!O930="","",'Clockify Raw'!O930/24)</f>
        <v/>
      </c>
      <c r="G930" t="str">
        <f>IF(A930="","",COUNTIFS($A$2:$A$1000,A930,$B$2:$B$1000,"&lt;"&amp;B930)+COUNTIFS($A$2:A930,A930,$B$2:B930,B930))</f>
        <v/>
      </c>
      <c r="H930" t="str">
        <f t="shared" si="14"/>
        <v/>
      </c>
    </row>
    <row r="931" spans="1:8">
      <c r="A931" s="25" t="str">
        <f>IF('Clockify Raw'!J931="","",'Clockify Raw'!J931)</f>
        <v/>
      </c>
      <c r="B931" s="23" t="str">
        <f>IF('Clockify Raw'!K931="","",VALUE('Clockify Raw'!K931))</f>
        <v/>
      </c>
      <c r="C931" s="23" t="str">
        <f>IF('Clockify Raw'!M931="","",VALUE('Clockify Raw'!M931))</f>
        <v/>
      </c>
      <c r="D931" t="str">
        <f>IF('Clockify Raw'!A931="","",IF(LOWER('Clockify Raw'!A931)="break","Break","Work"))</f>
        <v/>
      </c>
      <c r="E931" t="str">
        <f>IF('Clockify Raw'!A931="","",IF(LOWER('Clockify Raw'!A931)="break","Break",IF('Clockify Raw'!C931&lt;&gt;"",'Clockify Raw'!C931,IF('Clockify Raw'!D931&lt;&gt;"",'Clockify Raw'!D931,'Clockify Raw'!A931))))</f>
        <v/>
      </c>
      <c r="F931" s="24" t="str">
        <f>IF('Clockify Raw'!O931="","",'Clockify Raw'!O931/24)</f>
        <v/>
      </c>
      <c r="G931" t="str">
        <f>IF(A931="","",COUNTIFS($A$2:$A$1000,A931,$B$2:$B$1000,"&lt;"&amp;B931)+COUNTIFS($A$2:A931,A931,$B$2:B931,B931))</f>
        <v/>
      </c>
      <c r="H931" t="str">
        <f t="shared" si="14"/>
        <v/>
      </c>
    </row>
    <row r="932" spans="1:8">
      <c r="A932" s="25" t="str">
        <f>IF('Clockify Raw'!J932="","",'Clockify Raw'!J932)</f>
        <v/>
      </c>
      <c r="B932" s="23" t="str">
        <f>IF('Clockify Raw'!K932="","",VALUE('Clockify Raw'!K932))</f>
        <v/>
      </c>
      <c r="C932" s="23" t="str">
        <f>IF('Clockify Raw'!M932="","",VALUE('Clockify Raw'!M932))</f>
        <v/>
      </c>
      <c r="D932" t="str">
        <f>IF('Clockify Raw'!A932="","",IF(LOWER('Clockify Raw'!A932)="break","Break","Work"))</f>
        <v/>
      </c>
      <c r="E932" t="str">
        <f>IF('Clockify Raw'!A932="","",IF(LOWER('Clockify Raw'!A932)="break","Break",IF('Clockify Raw'!C932&lt;&gt;"",'Clockify Raw'!C932,IF('Clockify Raw'!D932&lt;&gt;"",'Clockify Raw'!D932,'Clockify Raw'!A932))))</f>
        <v/>
      </c>
      <c r="F932" s="24" t="str">
        <f>IF('Clockify Raw'!O932="","",'Clockify Raw'!O932/24)</f>
        <v/>
      </c>
      <c r="G932" t="str">
        <f>IF(A932="","",COUNTIFS($A$2:$A$1000,A932,$B$2:$B$1000,"&lt;"&amp;B932)+COUNTIFS($A$2:A932,A932,$B$2:B932,B932))</f>
        <v/>
      </c>
      <c r="H932" t="str">
        <f t="shared" si="14"/>
        <v/>
      </c>
    </row>
    <row r="933" spans="1:8">
      <c r="A933" s="25" t="str">
        <f>IF('Clockify Raw'!J933="","",'Clockify Raw'!J933)</f>
        <v/>
      </c>
      <c r="B933" s="23" t="str">
        <f>IF('Clockify Raw'!K933="","",VALUE('Clockify Raw'!K933))</f>
        <v/>
      </c>
      <c r="C933" s="23" t="str">
        <f>IF('Clockify Raw'!M933="","",VALUE('Clockify Raw'!M933))</f>
        <v/>
      </c>
      <c r="D933" t="str">
        <f>IF('Clockify Raw'!A933="","",IF(LOWER('Clockify Raw'!A933)="break","Break","Work"))</f>
        <v/>
      </c>
      <c r="E933" t="str">
        <f>IF('Clockify Raw'!A933="","",IF(LOWER('Clockify Raw'!A933)="break","Break",IF('Clockify Raw'!C933&lt;&gt;"",'Clockify Raw'!C933,IF('Clockify Raw'!D933&lt;&gt;"",'Clockify Raw'!D933,'Clockify Raw'!A933))))</f>
        <v/>
      </c>
      <c r="F933" s="24" t="str">
        <f>IF('Clockify Raw'!O933="","",'Clockify Raw'!O933/24)</f>
        <v/>
      </c>
      <c r="G933" t="str">
        <f>IF(A933="","",COUNTIFS($A$2:$A$1000,A933,$B$2:$B$1000,"&lt;"&amp;B933)+COUNTIFS($A$2:A933,A933,$B$2:B933,B933))</f>
        <v/>
      </c>
      <c r="H933" t="str">
        <f t="shared" si="14"/>
        <v/>
      </c>
    </row>
    <row r="934" spans="1:8">
      <c r="A934" s="25" t="str">
        <f>IF('Clockify Raw'!J934="","",'Clockify Raw'!J934)</f>
        <v/>
      </c>
      <c r="B934" s="23" t="str">
        <f>IF('Clockify Raw'!K934="","",VALUE('Clockify Raw'!K934))</f>
        <v/>
      </c>
      <c r="C934" s="23" t="str">
        <f>IF('Clockify Raw'!M934="","",VALUE('Clockify Raw'!M934))</f>
        <v/>
      </c>
      <c r="D934" t="str">
        <f>IF('Clockify Raw'!A934="","",IF(LOWER('Clockify Raw'!A934)="break","Break","Work"))</f>
        <v/>
      </c>
      <c r="E934" t="str">
        <f>IF('Clockify Raw'!A934="","",IF(LOWER('Clockify Raw'!A934)="break","Break",IF('Clockify Raw'!C934&lt;&gt;"",'Clockify Raw'!C934,IF('Clockify Raw'!D934&lt;&gt;"",'Clockify Raw'!D934,'Clockify Raw'!A934))))</f>
        <v/>
      </c>
      <c r="F934" s="24" t="str">
        <f>IF('Clockify Raw'!O934="","",'Clockify Raw'!O934/24)</f>
        <v/>
      </c>
      <c r="G934" t="str">
        <f>IF(A934="","",COUNTIFS($A$2:$A$1000,A934,$B$2:$B$1000,"&lt;"&amp;B934)+COUNTIFS($A$2:A934,A934,$B$2:B934,B934))</f>
        <v/>
      </c>
      <c r="H934" t="str">
        <f t="shared" si="14"/>
        <v/>
      </c>
    </row>
    <row r="935" spans="1:8">
      <c r="A935" s="25" t="str">
        <f>IF('Clockify Raw'!J935="","",'Clockify Raw'!J935)</f>
        <v/>
      </c>
      <c r="B935" s="23" t="str">
        <f>IF('Clockify Raw'!K935="","",VALUE('Clockify Raw'!K935))</f>
        <v/>
      </c>
      <c r="C935" s="23" t="str">
        <f>IF('Clockify Raw'!M935="","",VALUE('Clockify Raw'!M935))</f>
        <v/>
      </c>
      <c r="D935" t="str">
        <f>IF('Clockify Raw'!A935="","",IF(LOWER('Clockify Raw'!A935)="break","Break","Work"))</f>
        <v/>
      </c>
      <c r="E935" t="str">
        <f>IF('Clockify Raw'!A935="","",IF(LOWER('Clockify Raw'!A935)="break","Break",IF('Clockify Raw'!C935&lt;&gt;"",'Clockify Raw'!C935,IF('Clockify Raw'!D935&lt;&gt;"",'Clockify Raw'!D935,'Clockify Raw'!A935))))</f>
        <v/>
      </c>
      <c r="F935" s="24" t="str">
        <f>IF('Clockify Raw'!O935="","",'Clockify Raw'!O935/24)</f>
        <v/>
      </c>
      <c r="G935" t="str">
        <f>IF(A935="","",COUNTIFS($A$2:$A$1000,A935,$B$2:$B$1000,"&lt;"&amp;B935)+COUNTIFS($A$2:A935,A935,$B$2:B935,B935))</f>
        <v/>
      </c>
      <c r="H935" t="str">
        <f t="shared" si="14"/>
        <v/>
      </c>
    </row>
    <row r="936" spans="1:8">
      <c r="A936" s="25" t="str">
        <f>IF('Clockify Raw'!J936="","",'Clockify Raw'!J936)</f>
        <v/>
      </c>
      <c r="B936" s="23" t="str">
        <f>IF('Clockify Raw'!K936="","",VALUE('Clockify Raw'!K936))</f>
        <v/>
      </c>
      <c r="C936" s="23" t="str">
        <f>IF('Clockify Raw'!M936="","",VALUE('Clockify Raw'!M936))</f>
        <v/>
      </c>
      <c r="D936" t="str">
        <f>IF('Clockify Raw'!A936="","",IF(LOWER('Clockify Raw'!A936)="break","Break","Work"))</f>
        <v/>
      </c>
      <c r="E936" t="str">
        <f>IF('Clockify Raw'!A936="","",IF(LOWER('Clockify Raw'!A936)="break","Break",IF('Clockify Raw'!C936&lt;&gt;"",'Clockify Raw'!C936,IF('Clockify Raw'!D936&lt;&gt;"",'Clockify Raw'!D936,'Clockify Raw'!A936))))</f>
        <v/>
      </c>
      <c r="F936" s="24" t="str">
        <f>IF('Clockify Raw'!O936="","",'Clockify Raw'!O936/24)</f>
        <v/>
      </c>
      <c r="G936" t="str">
        <f>IF(A936="","",COUNTIFS($A$2:$A$1000,A936,$B$2:$B$1000,"&lt;"&amp;B936)+COUNTIFS($A$2:A936,A936,$B$2:B936,B936))</f>
        <v/>
      </c>
      <c r="H936" t="str">
        <f t="shared" si="14"/>
        <v/>
      </c>
    </row>
    <row r="937" spans="1:8">
      <c r="A937" s="25" t="str">
        <f>IF('Clockify Raw'!J937="","",'Clockify Raw'!J937)</f>
        <v/>
      </c>
      <c r="B937" s="23" t="str">
        <f>IF('Clockify Raw'!K937="","",VALUE('Clockify Raw'!K937))</f>
        <v/>
      </c>
      <c r="C937" s="23" t="str">
        <f>IF('Clockify Raw'!M937="","",VALUE('Clockify Raw'!M937))</f>
        <v/>
      </c>
      <c r="D937" t="str">
        <f>IF('Clockify Raw'!A937="","",IF(LOWER('Clockify Raw'!A937)="break","Break","Work"))</f>
        <v/>
      </c>
      <c r="E937" t="str">
        <f>IF('Clockify Raw'!A937="","",IF(LOWER('Clockify Raw'!A937)="break","Break",IF('Clockify Raw'!C937&lt;&gt;"",'Clockify Raw'!C937,IF('Clockify Raw'!D937&lt;&gt;"",'Clockify Raw'!D937,'Clockify Raw'!A937))))</f>
        <v/>
      </c>
      <c r="F937" s="24" t="str">
        <f>IF('Clockify Raw'!O937="","",'Clockify Raw'!O937/24)</f>
        <v/>
      </c>
      <c r="G937" t="str">
        <f>IF(A937="","",COUNTIFS($A$2:$A$1000,A937,$B$2:$B$1000,"&lt;"&amp;B937)+COUNTIFS($A$2:A937,A937,$B$2:B937,B937))</f>
        <v/>
      </c>
      <c r="H937" t="str">
        <f t="shared" si="14"/>
        <v/>
      </c>
    </row>
    <row r="938" spans="1:8">
      <c r="A938" s="25" t="str">
        <f>IF('Clockify Raw'!J938="","",'Clockify Raw'!J938)</f>
        <v/>
      </c>
      <c r="B938" s="23" t="str">
        <f>IF('Clockify Raw'!K938="","",VALUE('Clockify Raw'!K938))</f>
        <v/>
      </c>
      <c r="C938" s="23" t="str">
        <f>IF('Clockify Raw'!M938="","",VALUE('Clockify Raw'!M938))</f>
        <v/>
      </c>
      <c r="D938" t="str">
        <f>IF('Clockify Raw'!A938="","",IF(LOWER('Clockify Raw'!A938)="break","Break","Work"))</f>
        <v/>
      </c>
      <c r="E938" t="str">
        <f>IF('Clockify Raw'!A938="","",IF(LOWER('Clockify Raw'!A938)="break","Break",IF('Clockify Raw'!C938&lt;&gt;"",'Clockify Raw'!C938,IF('Clockify Raw'!D938&lt;&gt;"",'Clockify Raw'!D938,'Clockify Raw'!A938))))</f>
        <v/>
      </c>
      <c r="F938" s="24" t="str">
        <f>IF('Clockify Raw'!O938="","",'Clockify Raw'!O938/24)</f>
        <v/>
      </c>
      <c r="G938" t="str">
        <f>IF(A938="","",COUNTIFS($A$2:$A$1000,A938,$B$2:$B$1000,"&lt;"&amp;B938)+COUNTIFS($A$2:A938,A938,$B$2:B938,B938))</f>
        <v/>
      </c>
      <c r="H938" t="str">
        <f t="shared" si="14"/>
        <v/>
      </c>
    </row>
    <row r="939" spans="1:8">
      <c r="A939" s="25" t="str">
        <f>IF('Clockify Raw'!J939="","",'Clockify Raw'!J939)</f>
        <v/>
      </c>
      <c r="B939" s="23" t="str">
        <f>IF('Clockify Raw'!K939="","",VALUE('Clockify Raw'!K939))</f>
        <v/>
      </c>
      <c r="C939" s="23" t="str">
        <f>IF('Clockify Raw'!M939="","",VALUE('Clockify Raw'!M939))</f>
        <v/>
      </c>
      <c r="D939" t="str">
        <f>IF('Clockify Raw'!A939="","",IF(LOWER('Clockify Raw'!A939)="break","Break","Work"))</f>
        <v/>
      </c>
      <c r="E939" t="str">
        <f>IF('Clockify Raw'!A939="","",IF(LOWER('Clockify Raw'!A939)="break","Break",IF('Clockify Raw'!C939&lt;&gt;"",'Clockify Raw'!C939,IF('Clockify Raw'!D939&lt;&gt;"",'Clockify Raw'!D939,'Clockify Raw'!A939))))</f>
        <v/>
      </c>
      <c r="F939" s="24" t="str">
        <f>IF('Clockify Raw'!O939="","",'Clockify Raw'!O939/24)</f>
        <v/>
      </c>
      <c r="G939" t="str">
        <f>IF(A939="","",COUNTIFS($A$2:$A$1000,A939,$B$2:$B$1000,"&lt;"&amp;B939)+COUNTIFS($A$2:A939,A939,$B$2:B939,B939))</f>
        <v/>
      </c>
      <c r="H939" t="str">
        <f t="shared" si="14"/>
        <v/>
      </c>
    </row>
    <row r="940" spans="1:8">
      <c r="A940" s="25" t="str">
        <f>IF('Clockify Raw'!J940="","",'Clockify Raw'!J940)</f>
        <v/>
      </c>
      <c r="B940" s="23" t="str">
        <f>IF('Clockify Raw'!K940="","",VALUE('Clockify Raw'!K940))</f>
        <v/>
      </c>
      <c r="C940" s="23" t="str">
        <f>IF('Clockify Raw'!M940="","",VALUE('Clockify Raw'!M940))</f>
        <v/>
      </c>
      <c r="D940" t="str">
        <f>IF('Clockify Raw'!A940="","",IF(LOWER('Clockify Raw'!A940)="break","Break","Work"))</f>
        <v/>
      </c>
      <c r="E940" t="str">
        <f>IF('Clockify Raw'!A940="","",IF(LOWER('Clockify Raw'!A940)="break","Break",IF('Clockify Raw'!C940&lt;&gt;"",'Clockify Raw'!C940,IF('Clockify Raw'!D940&lt;&gt;"",'Clockify Raw'!D940,'Clockify Raw'!A940))))</f>
        <v/>
      </c>
      <c r="F940" s="24" t="str">
        <f>IF('Clockify Raw'!O940="","",'Clockify Raw'!O940/24)</f>
        <v/>
      </c>
      <c r="G940" t="str">
        <f>IF(A940="","",COUNTIFS($A$2:$A$1000,A940,$B$2:$B$1000,"&lt;"&amp;B940)+COUNTIFS($A$2:A940,A940,$B$2:B940,B940))</f>
        <v/>
      </c>
      <c r="H940" t="str">
        <f t="shared" si="14"/>
        <v/>
      </c>
    </row>
    <row r="941" spans="1:8">
      <c r="A941" s="25" t="str">
        <f>IF('Clockify Raw'!J941="","",'Clockify Raw'!J941)</f>
        <v/>
      </c>
      <c r="B941" s="23" t="str">
        <f>IF('Clockify Raw'!K941="","",VALUE('Clockify Raw'!K941))</f>
        <v/>
      </c>
      <c r="C941" s="23" t="str">
        <f>IF('Clockify Raw'!M941="","",VALUE('Clockify Raw'!M941))</f>
        <v/>
      </c>
      <c r="D941" t="str">
        <f>IF('Clockify Raw'!A941="","",IF(LOWER('Clockify Raw'!A941)="break","Break","Work"))</f>
        <v/>
      </c>
      <c r="E941" t="str">
        <f>IF('Clockify Raw'!A941="","",IF(LOWER('Clockify Raw'!A941)="break","Break",IF('Clockify Raw'!C941&lt;&gt;"",'Clockify Raw'!C941,IF('Clockify Raw'!D941&lt;&gt;"",'Clockify Raw'!D941,'Clockify Raw'!A941))))</f>
        <v/>
      </c>
      <c r="F941" s="24" t="str">
        <f>IF('Clockify Raw'!O941="","",'Clockify Raw'!O941/24)</f>
        <v/>
      </c>
      <c r="G941" t="str">
        <f>IF(A941="","",COUNTIFS($A$2:$A$1000,A941,$B$2:$B$1000,"&lt;"&amp;B941)+COUNTIFS($A$2:A941,A941,$B$2:B941,B941))</f>
        <v/>
      </c>
      <c r="H941" t="str">
        <f t="shared" si="14"/>
        <v/>
      </c>
    </row>
    <row r="942" spans="1:8">
      <c r="A942" s="25" t="str">
        <f>IF('Clockify Raw'!J942="","",'Clockify Raw'!J942)</f>
        <v/>
      </c>
      <c r="B942" s="23" t="str">
        <f>IF('Clockify Raw'!K942="","",VALUE('Clockify Raw'!K942))</f>
        <v/>
      </c>
      <c r="C942" s="23" t="str">
        <f>IF('Clockify Raw'!M942="","",VALUE('Clockify Raw'!M942))</f>
        <v/>
      </c>
      <c r="D942" t="str">
        <f>IF('Clockify Raw'!A942="","",IF(LOWER('Clockify Raw'!A942)="break","Break","Work"))</f>
        <v/>
      </c>
      <c r="E942" t="str">
        <f>IF('Clockify Raw'!A942="","",IF(LOWER('Clockify Raw'!A942)="break","Break",IF('Clockify Raw'!C942&lt;&gt;"",'Clockify Raw'!C942,IF('Clockify Raw'!D942&lt;&gt;"",'Clockify Raw'!D942,'Clockify Raw'!A942))))</f>
        <v/>
      </c>
      <c r="F942" s="24" t="str">
        <f>IF('Clockify Raw'!O942="","",'Clockify Raw'!O942/24)</f>
        <v/>
      </c>
      <c r="G942" t="str">
        <f>IF(A942="","",COUNTIFS($A$2:$A$1000,A942,$B$2:$B$1000,"&lt;"&amp;B942)+COUNTIFS($A$2:A942,A942,$B$2:B942,B942))</f>
        <v/>
      </c>
      <c r="H942" t="str">
        <f t="shared" si="14"/>
        <v/>
      </c>
    </row>
    <row r="943" spans="1:8">
      <c r="A943" s="25" t="str">
        <f>IF('Clockify Raw'!J943="","",'Clockify Raw'!J943)</f>
        <v/>
      </c>
      <c r="B943" s="23" t="str">
        <f>IF('Clockify Raw'!K943="","",VALUE('Clockify Raw'!K943))</f>
        <v/>
      </c>
      <c r="C943" s="23" t="str">
        <f>IF('Clockify Raw'!M943="","",VALUE('Clockify Raw'!M943))</f>
        <v/>
      </c>
      <c r="D943" t="str">
        <f>IF('Clockify Raw'!A943="","",IF(LOWER('Clockify Raw'!A943)="break","Break","Work"))</f>
        <v/>
      </c>
      <c r="E943" t="str">
        <f>IF('Clockify Raw'!A943="","",IF(LOWER('Clockify Raw'!A943)="break","Break",IF('Clockify Raw'!C943&lt;&gt;"",'Clockify Raw'!C943,IF('Clockify Raw'!D943&lt;&gt;"",'Clockify Raw'!D943,'Clockify Raw'!A943))))</f>
        <v/>
      </c>
      <c r="F943" s="24" t="str">
        <f>IF('Clockify Raw'!O943="","",'Clockify Raw'!O943/24)</f>
        <v/>
      </c>
      <c r="G943" t="str">
        <f>IF(A943="","",COUNTIFS($A$2:$A$1000,A943,$B$2:$B$1000,"&lt;"&amp;B943)+COUNTIFS($A$2:A943,A943,$B$2:B943,B943))</f>
        <v/>
      </c>
      <c r="H943" t="str">
        <f t="shared" si="14"/>
        <v/>
      </c>
    </row>
    <row r="944" spans="1:8">
      <c r="A944" s="25" t="str">
        <f>IF('Clockify Raw'!J944="","",'Clockify Raw'!J944)</f>
        <v/>
      </c>
      <c r="B944" s="23" t="str">
        <f>IF('Clockify Raw'!K944="","",VALUE('Clockify Raw'!K944))</f>
        <v/>
      </c>
      <c r="C944" s="23" t="str">
        <f>IF('Clockify Raw'!M944="","",VALUE('Clockify Raw'!M944))</f>
        <v/>
      </c>
      <c r="D944" t="str">
        <f>IF('Clockify Raw'!A944="","",IF(LOWER('Clockify Raw'!A944)="break","Break","Work"))</f>
        <v/>
      </c>
      <c r="E944" t="str">
        <f>IF('Clockify Raw'!A944="","",IF(LOWER('Clockify Raw'!A944)="break","Break",IF('Clockify Raw'!C944&lt;&gt;"",'Clockify Raw'!C944,IF('Clockify Raw'!D944&lt;&gt;"",'Clockify Raw'!D944,'Clockify Raw'!A944))))</f>
        <v/>
      </c>
      <c r="F944" s="24" t="str">
        <f>IF('Clockify Raw'!O944="","",'Clockify Raw'!O944/24)</f>
        <v/>
      </c>
      <c r="G944" t="str">
        <f>IF(A944="","",COUNTIFS($A$2:$A$1000,A944,$B$2:$B$1000,"&lt;"&amp;B944)+COUNTIFS($A$2:A944,A944,$B$2:B944,B944))</f>
        <v/>
      </c>
      <c r="H944" t="str">
        <f t="shared" si="14"/>
        <v/>
      </c>
    </row>
    <row r="945" spans="1:8">
      <c r="A945" s="25" t="str">
        <f>IF('Clockify Raw'!J945="","",'Clockify Raw'!J945)</f>
        <v/>
      </c>
      <c r="B945" s="23" t="str">
        <f>IF('Clockify Raw'!K945="","",VALUE('Clockify Raw'!K945))</f>
        <v/>
      </c>
      <c r="C945" s="23" t="str">
        <f>IF('Clockify Raw'!M945="","",VALUE('Clockify Raw'!M945))</f>
        <v/>
      </c>
      <c r="D945" t="str">
        <f>IF('Clockify Raw'!A945="","",IF(LOWER('Clockify Raw'!A945)="break","Break","Work"))</f>
        <v/>
      </c>
      <c r="E945" t="str">
        <f>IF('Clockify Raw'!A945="","",IF(LOWER('Clockify Raw'!A945)="break","Break",IF('Clockify Raw'!C945&lt;&gt;"",'Clockify Raw'!C945,IF('Clockify Raw'!D945&lt;&gt;"",'Clockify Raw'!D945,'Clockify Raw'!A945))))</f>
        <v/>
      </c>
      <c r="F945" s="24" t="str">
        <f>IF('Clockify Raw'!O945="","",'Clockify Raw'!O945/24)</f>
        <v/>
      </c>
      <c r="G945" t="str">
        <f>IF(A945="","",COUNTIFS($A$2:$A$1000,A945,$B$2:$B$1000,"&lt;"&amp;B945)+COUNTIFS($A$2:A945,A945,$B$2:B945,B945))</f>
        <v/>
      </c>
      <c r="H945" t="str">
        <f t="shared" si="14"/>
        <v/>
      </c>
    </row>
    <row r="946" spans="1:8">
      <c r="A946" s="25" t="str">
        <f>IF('Clockify Raw'!J946="","",'Clockify Raw'!J946)</f>
        <v/>
      </c>
      <c r="B946" s="23" t="str">
        <f>IF('Clockify Raw'!K946="","",VALUE('Clockify Raw'!K946))</f>
        <v/>
      </c>
      <c r="C946" s="23" t="str">
        <f>IF('Clockify Raw'!M946="","",VALUE('Clockify Raw'!M946))</f>
        <v/>
      </c>
      <c r="D946" t="str">
        <f>IF('Clockify Raw'!A946="","",IF(LOWER('Clockify Raw'!A946)="break","Break","Work"))</f>
        <v/>
      </c>
      <c r="E946" t="str">
        <f>IF('Clockify Raw'!A946="","",IF(LOWER('Clockify Raw'!A946)="break","Break",IF('Clockify Raw'!C946&lt;&gt;"",'Clockify Raw'!C946,IF('Clockify Raw'!D946&lt;&gt;"",'Clockify Raw'!D946,'Clockify Raw'!A946))))</f>
        <v/>
      </c>
      <c r="F946" s="24" t="str">
        <f>IF('Clockify Raw'!O946="","",'Clockify Raw'!O946/24)</f>
        <v/>
      </c>
      <c r="G946" t="str">
        <f>IF(A946="","",COUNTIFS($A$2:$A$1000,A946,$B$2:$B$1000,"&lt;"&amp;B946)+COUNTIFS($A$2:A946,A946,$B$2:B946,B946))</f>
        <v/>
      </c>
      <c r="H946" t="str">
        <f t="shared" si="14"/>
        <v/>
      </c>
    </row>
    <row r="947" spans="1:8">
      <c r="A947" s="25" t="str">
        <f>IF('Clockify Raw'!J947="","",'Clockify Raw'!J947)</f>
        <v/>
      </c>
      <c r="B947" s="23" t="str">
        <f>IF('Clockify Raw'!K947="","",VALUE('Clockify Raw'!K947))</f>
        <v/>
      </c>
      <c r="C947" s="23" t="str">
        <f>IF('Clockify Raw'!M947="","",VALUE('Clockify Raw'!M947))</f>
        <v/>
      </c>
      <c r="D947" t="str">
        <f>IF('Clockify Raw'!A947="","",IF(LOWER('Clockify Raw'!A947)="break","Break","Work"))</f>
        <v/>
      </c>
      <c r="E947" t="str">
        <f>IF('Clockify Raw'!A947="","",IF(LOWER('Clockify Raw'!A947)="break","Break",IF('Clockify Raw'!C947&lt;&gt;"",'Clockify Raw'!C947,IF('Clockify Raw'!D947&lt;&gt;"",'Clockify Raw'!D947,'Clockify Raw'!A947))))</f>
        <v/>
      </c>
      <c r="F947" s="24" t="str">
        <f>IF('Clockify Raw'!O947="","",'Clockify Raw'!O947/24)</f>
        <v/>
      </c>
      <c r="G947" t="str">
        <f>IF(A947="","",COUNTIFS($A$2:$A$1000,A947,$B$2:$B$1000,"&lt;"&amp;B947)+COUNTIFS($A$2:A947,A947,$B$2:B947,B947))</f>
        <v/>
      </c>
      <c r="H947" t="str">
        <f t="shared" si="14"/>
        <v/>
      </c>
    </row>
    <row r="948" spans="1:8">
      <c r="A948" s="25" t="str">
        <f>IF('Clockify Raw'!J948="","",'Clockify Raw'!J948)</f>
        <v/>
      </c>
      <c r="B948" s="23" t="str">
        <f>IF('Clockify Raw'!K948="","",VALUE('Clockify Raw'!K948))</f>
        <v/>
      </c>
      <c r="C948" s="23" t="str">
        <f>IF('Clockify Raw'!M948="","",VALUE('Clockify Raw'!M948))</f>
        <v/>
      </c>
      <c r="D948" t="str">
        <f>IF('Clockify Raw'!A948="","",IF(LOWER('Clockify Raw'!A948)="break","Break","Work"))</f>
        <v/>
      </c>
      <c r="E948" t="str">
        <f>IF('Clockify Raw'!A948="","",IF(LOWER('Clockify Raw'!A948)="break","Break",IF('Clockify Raw'!C948&lt;&gt;"",'Clockify Raw'!C948,IF('Clockify Raw'!D948&lt;&gt;"",'Clockify Raw'!D948,'Clockify Raw'!A948))))</f>
        <v/>
      </c>
      <c r="F948" s="24" t="str">
        <f>IF('Clockify Raw'!O948="","",'Clockify Raw'!O948/24)</f>
        <v/>
      </c>
      <c r="G948" t="str">
        <f>IF(A948="","",COUNTIFS($A$2:$A$1000,A948,$B$2:$B$1000,"&lt;"&amp;B948)+COUNTIFS($A$2:A948,A948,$B$2:B948,B948))</f>
        <v/>
      </c>
      <c r="H948" t="str">
        <f t="shared" si="14"/>
        <v/>
      </c>
    </row>
    <row r="949" spans="1:8">
      <c r="A949" s="25" t="str">
        <f>IF('Clockify Raw'!J949="","",'Clockify Raw'!J949)</f>
        <v/>
      </c>
      <c r="B949" s="23" t="str">
        <f>IF('Clockify Raw'!K949="","",VALUE('Clockify Raw'!K949))</f>
        <v/>
      </c>
      <c r="C949" s="23" t="str">
        <f>IF('Clockify Raw'!M949="","",VALUE('Clockify Raw'!M949))</f>
        <v/>
      </c>
      <c r="D949" t="str">
        <f>IF('Clockify Raw'!A949="","",IF(LOWER('Clockify Raw'!A949)="break","Break","Work"))</f>
        <v/>
      </c>
      <c r="E949" t="str">
        <f>IF('Clockify Raw'!A949="","",IF(LOWER('Clockify Raw'!A949)="break","Break",IF('Clockify Raw'!C949&lt;&gt;"",'Clockify Raw'!C949,IF('Clockify Raw'!D949&lt;&gt;"",'Clockify Raw'!D949,'Clockify Raw'!A949))))</f>
        <v/>
      </c>
      <c r="F949" s="24" t="str">
        <f>IF('Clockify Raw'!O949="","",'Clockify Raw'!O949/24)</f>
        <v/>
      </c>
      <c r="G949" t="str">
        <f>IF(A949="","",COUNTIFS($A$2:$A$1000,A949,$B$2:$B$1000,"&lt;"&amp;B949)+COUNTIFS($A$2:A949,A949,$B$2:B949,B949))</f>
        <v/>
      </c>
      <c r="H949" t="str">
        <f t="shared" si="14"/>
        <v/>
      </c>
    </row>
    <row r="950" spans="1:8">
      <c r="A950" s="25" t="str">
        <f>IF('Clockify Raw'!J950="","",'Clockify Raw'!J950)</f>
        <v/>
      </c>
      <c r="B950" s="23" t="str">
        <f>IF('Clockify Raw'!K950="","",VALUE('Clockify Raw'!K950))</f>
        <v/>
      </c>
      <c r="C950" s="23" t="str">
        <f>IF('Clockify Raw'!M950="","",VALUE('Clockify Raw'!M950))</f>
        <v/>
      </c>
      <c r="D950" t="str">
        <f>IF('Clockify Raw'!A950="","",IF(LOWER('Clockify Raw'!A950)="break","Break","Work"))</f>
        <v/>
      </c>
      <c r="E950" t="str">
        <f>IF('Clockify Raw'!A950="","",IF(LOWER('Clockify Raw'!A950)="break","Break",IF('Clockify Raw'!C950&lt;&gt;"",'Clockify Raw'!C950,IF('Clockify Raw'!D950&lt;&gt;"",'Clockify Raw'!D950,'Clockify Raw'!A950))))</f>
        <v/>
      </c>
      <c r="F950" s="24" t="str">
        <f>IF('Clockify Raw'!O950="","",'Clockify Raw'!O950/24)</f>
        <v/>
      </c>
      <c r="G950" t="str">
        <f>IF(A950="","",COUNTIFS($A$2:$A$1000,A950,$B$2:$B$1000,"&lt;"&amp;B950)+COUNTIFS($A$2:A950,A950,$B$2:B950,B950))</f>
        <v/>
      </c>
      <c r="H950" t="str">
        <f t="shared" si="14"/>
        <v/>
      </c>
    </row>
    <row r="951" spans="1:8">
      <c r="A951" s="25" t="str">
        <f>IF('Clockify Raw'!J951="","",'Clockify Raw'!J951)</f>
        <v/>
      </c>
      <c r="B951" s="23" t="str">
        <f>IF('Clockify Raw'!K951="","",VALUE('Clockify Raw'!K951))</f>
        <v/>
      </c>
      <c r="C951" s="23" t="str">
        <f>IF('Clockify Raw'!M951="","",VALUE('Clockify Raw'!M951))</f>
        <v/>
      </c>
      <c r="D951" t="str">
        <f>IF('Clockify Raw'!A951="","",IF(LOWER('Clockify Raw'!A951)="break","Break","Work"))</f>
        <v/>
      </c>
      <c r="E951" t="str">
        <f>IF('Clockify Raw'!A951="","",IF(LOWER('Clockify Raw'!A951)="break","Break",IF('Clockify Raw'!C951&lt;&gt;"",'Clockify Raw'!C951,IF('Clockify Raw'!D951&lt;&gt;"",'Clockify Raw'!D951,'Clockify Raw'!A951))))</f>
        <v/>
      </c>
      <c r="F951" s="24" t="str">
        <f>IF('Clockify Raw'!O951="","",'Clockify Raw'!O951/24)</f>
        <v/>
      </c>
      <c r="G951" t="str">
        <f>IF(A951="","",COUNTIFS($A$2:$A$1000,A951,$B$2:$B$1000,"&lt;"&amp;B951)+COUNTIFS($A$2:A951,A951,$B$2:B951,B951))</f>
        <v/>
      </c>
      <c r="H951" t="str">
        <f t="shared" si="14"/>
        <v/>
      </c>
    </row>
    <row r="952" spans="1:8">
      <c r="A952" s="25" t="str">
        <f>IF('Clockify Raw'!J952="","",'Clockify Raw'!J952)</f>
        <v/>
      </c>
      <c r="B952" s="23" t="str">
        <f>IF('Clockify Raw'!K952="","",VALUE('Clockify Raw'!K952))</f>
        <v/>
      </c>
      <c r="C952" s="23" t="str">
        <f>IF('Clockify Raw'!M952="","",VALUE('Clockify Raw'!M952))</f>
        <v/>
      </c>
      <c r="D952" t="str">
        <f>IF('Clockify Raw'!A952="","",IF(LOWER('Clockify Raw'!A952)="break","Break","Work"))</f>
        <v/>
      </c>
      <c r="E952" t="str">
        <f>IF('Clockify Raw'!A952="","",IF(LOWER('Clockify Raw'!A952)="break","Break",IF('Clockify Raw'!C952&lt;&gt;"",'Clockify Raw'!C952,IF('Clockify Raw'!D952&lt;&gt;"",'Clockify Raw'!D952,'Clockify Raw'!A952))))</f>
        <v/>
      </c>
      <c r="F952" s="24" t="str">
        <f>IF('Clockify Raw'!O952="","",'Clockify Raw'!O952/24)</f>
        <v/>
      </c>
      <c r="G952" t="str">
        <f>IF(A952="","",COUNTIFS($A$2:$A$1000,A952,$B$2:$B$1000,"&lt;"&amp;B952)+COUNTIFS($A$2:A952,A952,$B$2:B952,B952))</f>
        <v/>
      </c>
      <c r="H952" t="str">
        <f t="shared" si="14"/>
        <v/>
      </c>
    </row>
    <row r="953" spans="1:8">
      <c r="A953" s="25" t="str">
        <f>IF('Clockify Raw'!J953="","",'Clockify Raw'!J953)</f>
        <v/>
      </c>
      <c r="B953" s="23" t="str">
        <f>IF('Clockify Raw'!K953="","",VALUE('Clockify Raw'!K953))</f>
        <v/>
      </c>
      <c r="C953" s="23" t="str">
        <f>IF('Clockify Raw'!M953="","",VALUE('Clockify Raw'!M953))</f>
        <v/>
      </c>
      <c r="D953" t="str">
        <f>IF('Clockify Raw'!A953="","",IF(LOWER('Clockify Raw'!A953)="break","Break","Work"))</f>
        <v/>
      </c>
      <c r="E953" t="str">
        <f>IF('Clockify Raw'!A953="","",IF(LOWER('Clockify Raw'!A953)="break","Break",IF('Clockify Raw'!C953&lt;&gt;"",'Clockify Raw'!C953,IF('Clockify Raw'!D953&lt;&gt;"",'Clockify Raw'!D953,'Clockify Raw'!A953))))</f>
        <v/>
      </c>
      <c r="F953" s="24" t="str">
        <f>IF('Clockify Raw'!O953="","",'Clockify Raw'!O953/24)</f>
        <v/>
      </c>
      <c r="G953" t="str">
        <f>IF(A953="","",COUNTIFS($A$2:$A$1000,A953,$B$2:$B$1000,"&lt;"&amp;B953)+COUNTIFS($A$2:A953,A953,$B$2:B953,B953))</f>
        <v/>
      </c>
      <c r="H953" t="str">
        <f t="shared" si="14"/>
        <v/>
      </c>
    </row>
    <row r="954" spans="1:8">
      <c r="A954" s="25" t="str">
        <f>IF('Clockify Raw'!J954="","",'Clockify Raw'!J954)</f>
        <v/>
      </c>
      <c r="B954" s="23" t="str">
        <f>IF('Clockify Raw'!K954="","",VALUE('Clockify Raw'!K954))</f>
        <v/>
      </c>
      <c r="C954" s="23" t="str">
        <f>IF('Clockify Raw'!M954="","",VALUE('Clockify Raw'!M954))</f>
        <v/>
      </c>
      <c r="D954" t="str">
        <f>IF('Clockify Raw'!A954="","",IF(LOWER('Clockify Raw'!A954)="break","Break","Work"))</f>
        <v/>
      </c>
      <c r="E954" t="str">
        <f>IF('Clockify Raw'!A954="","",IF(LOWER('Clockify Raw'!A954)="break","Break",IF('Clockify Raw'!C954&lt;&gt;"",'Clockify Raw'!C954,IF('Clockify Raw'!D954&lt;&gt;"",'Clockify Raw'!D954,'Clockify Raw'!A954))))</f>
        <v/>
      </c>
      <c r="F954" s="24" t="str">
        <f>IF('Clockify Raw'!O954="","",'Clockify Raw'!O954/24)</f>
        <v/>
      </c>
      <c r="G954" t="str">
        <f>IF(A954="","",COUNTIFS($A$2:$A$1000,A954,$B$2:$B$1000,"&lt;"&amp;B954)+COUNTIFS($A$2:A954,A954,$B$2:B954,B954))</f>
        <v/>
      </c>
      <c r="H954" t="str">
        <f t="shared" si="14"/>
        <v/>
      </c>
    </row>
    <row r="955" spans="1:8">
      <c r="A955" s="25" t="str">
        <f>IF('Clockify Raw'!J955="","",'Clockify Raw'!J955)</f>
        <v/>
      </c>
      <c r="B955" s="23" t="str">
        <f>IF('Clockify Raw'!K955="","",VALUE('Clockify Raw'!K955))</f>
        <v/>
      </c>
      <c r="C955" s="23" t="str">
        <f>IF('Clockify Raw'!M955="","",VALUE('Clockify Raw'!M955))</f>
        <v/>
      </c>
      <c r="D955" t="str">
        <f>IF('Clockify Raw'!A955="","",IF(LOWER('Clockify Raw'!A955)="break","Break","Work"))</f>
        <v/>
      </c>
      <c r="E955" t="str">
        <f>IF('Clockify Raw'!A955="","",IF(LOWER('Clockify Raw'!A955)="break","Break",IF('Clockify Raw'!C955&lt;&gt;"",'Clockify Raw'!C955,IF('Clockify Raw'!D955&lt;&gt;"",'Clockify Raw'!D955,'Clockify Raw'!A955))))</f>
        <v/>
      </c>
      <c r="F955" s="24" t="str">
        <f>IF('Clockify Raw'!O955="","",'Clockify Raw'!O955/24)</f>
        <v/>
      </c>
      <c r="G955" t="str">
        <f>IF(A955="","",COUNTIFS($A$2:$A$1000,A955,$B$2:$B$1000,"&lt;"&amp;B955)+COUNTIFS($A$2:A955,A955,$B$2:B955,B955))</f>
        <v/>
      </c>
      <c r="H955" t="str">
        <f t="shared" si="14"/>
        <v/>
      </c>
    </row>
    <row r="956" spans="1:8">
      <c r="A956" s="25" t="str">
        <f>IF('Clockify Raw'!J956="","",'Clockify Raw'!J956)</f>
        <v/>
      </c>
      <c r="B956" s="23" t="str">
        <f>IF('Clockify Raw'!K956="","",VALUE('Clockify Raw'!K956))</f>
        <v/>
      </c>
      <c r="C956" s="23" t="str">
        <f>IF('Clockify Raw'!M956="","",VALUE('Clockify Raw'!M956))</f>
        <v/>
      </c>
      <c r="D956" t="str">
        <f>IF('Clockify Raw'!A956="","",IF(LOWER('Clockify Raw'!A956)="break","Break","Work"))</f>
        <v/>
      </c>
      <c r="E956" t="str">
        <f>IF('Clockify Raw'!A956="","",IF(LOWER('Clockify Raw'!A956)="break","Break",IF('Clockify Raw'!C956&lt;&gt;"",'Clockify Raw'!C956,IF('Clockify Raw'!D956&lt;&gt;"",'Clockify Raw'!D956,'Clockify Raw'!A956))))</f>
        <v/>
      </c>
      <c r="F956" s="24" t="str">
        <f>IF('Clockify Raw'!O956="","",'Clockify Raw'!O956/24)</f>
        <v/>
      </c>
      <c r="G956" t="str">
        <f>IF(A956="","",COUNTIFS($A$2:$A$1000,A956,$B$2:$B$1000,"&lt;"&amp;B956)+COUNTIFS($A$2:A956,A956,$B$2:B956,B956))</f>
        <v/>
      </c>
      <c r="H956" t="str">
        <f t="shared" si="14"/>
        <v/>
      </c>
    </row>
    <row r="957" spans="1:8">
      <c r="A957" s="25" t="str">
        <f>IF('Clockify Raw'!J957="","",'Clockify Raw'!J957)</f>
        <v/>
      </c>
      <c r="B957" s="23" t="str">
        <f>IF('Clockify Raw'!K957="","",VALUE('Clockify Raw'!K957))</f>
        <v/>
      </c>
      <c r="C957" s="23" t="str">
        <f>IF('Clockify Raw'!M957="","",VALUE('Clockify Raw'!M957))</f>
        <v/>
      </c>
      <c r="D957" t="str">
        <f>IF('Clockify Raw'!A957="","",IF(LOWER('Clockify Raw'!A957)="break","Break","Work"))</f>
        <v/>
      </c>
      <c r="E957" t="str">
        <f>IF('Clockify Raw'!A957="","",IF(LOWER('Clockify Raw'!A957)="break","Break",IF('Clockify Raw'!C957&lt;&gt;"",'Clockify Raw'!C957,IF('Clockify Raw'!D957&lt;&gt;"",'Clockify Raw'!D957,'Clockify Raw'!A957))))</f>
        <v/>
      </c>
      <c r="F957" s="24" t="str">
        <f>IF('Clockify Raw'!O957="","",'Clockify Raw'!O957/24)</f>
        <v/>
      </c>
      <c r="G957" t="str">
        <f>IF(A957="","",COUNTIFS($A$2:$A$1000,A957,$B$2:$B$1000,"&lt;"&amp;B957)+COUNTIFS($A$2:A957,A957,$B$2:B957,B957))</f>
        <v/>
      </c>
      <c r="H957" t="str">
        <f t="shared" si="14"/>
        <v/>
      </c>
    </row>
    <row r="958" spans="1:8">
      <c r="A958" s="25" t="str">
        <f>IF('Clockify Raw'!J958="","",'Clockify Raw'!J958)</f>
        <v/>
      </c>
      <c r="B958" s="23" t="str">
        <f>IF('Clockify Raw'!K958="","",VALUE('Clockify Raw'!K958))</f>
        <v/>
      </c>
      <c r="C958" s="23" t="str">
        <f>IF('Clockify Raw'!M958="","",VALUE('Clockify Raw'!M958))</f>
        <v/>
      </c>
      <c r="D958" t="str">
        <f>IF('Clockify Raw'!A958="","",IF(LOWER('Clockify Raw'!A958)="break","Break","Work"))</f>
        <v/>
      </c>
      <c r="E958" t="str">
        <f>IF('Clockify Raw'!A958="","",IF(LOWER('Clockify Raw'!A958)="break","Break",IF('Clockify Raw'!C958&lt;&gt;"",'Clockify Raw'!C958,IF('Clockify Raw'!D958&lt;&gt;"",'Clockify Raw'!D958,'Clockify Raw'!A958))))</f>
        <v/>
      </c>
      <c r="F958" s="24" t="str">
        <f>IF('Clockify Raw'!O958="","",'Clockify Raw'!O958/24)</f>
        <v/>
      </c>
      <c r="G958" t="str">
        <f>IF(A958="","",COUNTIFS($A$2:$A$1000,A958,$B$2:$B$1000,"&lt;"&amp;B958)+COUNTIFS($A$2:A958,A958,$B$2:B958,B958))</f>
        <v/>
      </c>
      <c r="H958" t="str">
        <f t="shared" si="14"/>
        <v/>
      </c>
    </row>
    <row r="959" spans="1:8">
      <c r="A959" s="25" t="str">
        <f>IF('Clockify Raw'!J959="","",'Clockify Raw'!J959)</f>
        <v/>
      </c>
      <c r="B959" s="23" t="str">
        <f>IF('Clockify Raw'!K959="","",VALUE('Clockify Raw'!K959))</f>
        <v/>
      </c>
      <c r="C959" s="23" t="str">
        <f>IF('Clockify Raw'!M959="","",VALUE('Clockify Raw'!M959))</f>
        <v/>
      </c>
      <c r="D959" t="str">
        <f>IF('Clockify Raw'!A959="","",IF(LOWER('Clockify Raw'!A959)="break","Break","Work"))</f>
        <v/>
      </c>
      <c r="E959" t="str">
        <f>IF('Clockify Raw'!A959="","",IF(LOWER('Clockify Raw'!A959)="break","Break",IF('Clockify Raw'!C959&lt;&gt;"",'Clockify Raw'!C959,IF('Clockify Raw'!D959&lt;&gt;"",'Clockify Raw'!D959,'Clockify Raw'!A959))))</f>
        <v/>
      </c>
      <c r="F959" s="24" t="str">
        <f>IF('Clockify Raw'!O959="","",'Clockify Raw'!O959/24)</f>
        <v/>
      </c>
      <c r="G959" t="str">
        <f>IF(A959="","",COUNTIFS($A$2:$A$1000,A959,$B$2:$B$1000,"&lt;"&amp;B959)+COUNTIFS($A$2:A959,A959,$B$2:B959,B959))</f>
        <v/>
      </c>
      <c r="H959" t="str">
        <f t="shared" si="14"/>
        <v/>
      </c>
    </row>
    <row r="960" spans="1:8">
      <c r="A960" s="25" t="str">
        <f>IF('Clockify Raw'!J960="","",'Clockify Raw'!J960)</f>
        <v/>
      </c>
      <c r="B960" s="23" t="str">
        <f>IF('Clockify Raw'!K960="","",VALUE('Clockify Raw'!K960))</f>
        <v/>
      </c>
      <c r="C960" s="23" t="str">
        <f>IF('Clockify Raw'!M960="","",VALUE('Clockify Raw'!M960))</f>
        <v/>
      </c>
      <c r="D960" t="str">
        <f>IF('Clockify Raw'!A960="","",IF(LOWER('Clockify Raw'!A960)="break","Break","Work"))</f>
        <v/>
      </c>
      <c r="E960" t="str">
        <f>IF('Clockify Raw'!A960="","",IF(LOWER('Clockify Raw'!A960)="break","Break",IF('Clockify Raw'!C960&lt;&gt;"",'Clockify Raw'!C960,IF('Clockify Raw'!D960&lt;&gt;"",'Clockify Raw'!D960,'Clockify Raw'!A960))))</f>
        <v/>
      </c>
      <c r="F960" s="24" t="str">
        <f>IF('Clockify Raw'!O960="","",'Clockify Raw'!O960/24)</f>
        <v/>
      </c>
      <c r="G960" t="str">
        <f>IF(A960="","",COUNTIFS($A$2:$A$1000,A960,$B$2:$B$1000,"&lt;"&amp;B960)+COUNTIFS($A$2:A960,A960,$B$2:B960,B960))</f>
        <v/>
      </c>
      <c r="H960" t="str">
        <f t="shared" si="14"/>
        <v/>
      </c>
    </row>
    <row r="961" spans="1:8">
      <c r="A961" s="25" t="str">
        <f>IF('Clockify Raw'!J961="","",'Clockify Raw'!J961)</f>
        <v/>
      </c>
      <c r="B961" s="23" t="str">
        <f>IF('Clockify Raw'!K961="","",VALUE('Clockify Raw'!K961))</f>
        <v/>
      </c>
      <c r="C961" s="23" t="str">
        <f>IF('Clockify Raw'!M961="","",VALUE('Clockify Raw'!M961))</f>
        <v/>
      </c>
      <c r="D961" t="str">
        <f>IF('Clockify Raw'!A961="","",IF(LOWER('Clockify Raw'!A961)="break","Break","Work"))</f>
        <v/>
      </c>
      <c r="E961" t="str">
        <f>IF('Clockify Raw'!A961="","",IF(LOWER('Clockify Raw'!A961)="break","Break",IF('Clockify Raw'!C961&lt;&gt;"",'Clockify Raw'!C961,IF('Clockify Raw'!D961&lt;&gt;"",'Clockify Raw'!D961,'Clockify Raw'!A961))))</f>
        <v/>
      </c>
      <c r="F961" s="24" t="str">
        <f>IF('Clockify Raw'!O961="","",'Clockify Raw'!O961/24)</f>
        <v/>
      </c>
      <c r="G961" t="str">
        <f>IF(A961="","",COUNTIFS($A$2:$A$1000,A961,$B$2:$B$1000,"&lt;"&amp;B961)+COUNTIFS($A$2:A961,A961,$B$2:B961,B961))</f>
        <v/>
      </c>
      <c r="H961" t="str">
        <f t="shared" si="14"/>
        <v/>
      </c>
    </row>
    <row r="962" spans="1:8">
      <c r="A962" s="25" t="str">
        <f>IF('Clockify Raw'!J962="","",'Clockify Raw'!J962)</f>
        <v/>
      </c>
      <c r="B962" s="23" t="str">
        <f>IF('Clockify Raw'!K962="","",VALUE('Clockify Raw'!K962))</f>
        <v/>
      </c>
      <c r="C962" s="23" t="str">
        <f>IF('Clockify Raw'!M962="","",VALUE('Clockify Raw'!M962))</f>
        <v/>
      </c>
      <c r="D962" t="str">
        <f>IF('Clockify Raw'!A962="","",IF(LOWER('Clockify Raw'!A962)="break","Break","Work"))</f>
        <v/>
      </c>
      <c r="E962" t="str">
        <f>IF('Clockify Raw'!A962="","",IF(LOWER('Clockify Raw'!A962)="break","Break",IF('Clockify Raw'!C962&lt;&gt;"",'Clockify Raw'!C962,IF('Clockify Raw'!D962&lt;&gt;"",'Clockify Raw'!D962,'Clockify Raw'!A962))))</f>
        <v/>
      </c>
      <c r="F962" s="24" t="str">
        <f>IF('Clockify Raw'!O962="","",'Clockify Raw'!O962/24)</f>
        <v/>
      </c>
      <c r="G962" t="str">
        <f>IF(A962="","",COUNTIFS($A$2:$A$1000,A962,$B$2:$B$1000,"&lt;"&amp;B962)+COUNTIFS($A$2:A962,A962,$B$2:B962,B962))</f>
        <v/>
      </c>
      <c r="H962" t="str">
        <f t="shared" ref="H962:H1000" si="15">IF(A962="","",TEXT(A962,"yyyymmdd")&amp;"|"&amp;G962)</f>
        <v/>
      </c>
    </row>
    <row r="963" spans="1:8">
      <c r="A963" s="25" t="str">
        <f>IF('Clockify Raw'!J963="","",'Clockify Raw'!J963)</f>
        <v/>
      </c>
      <c r="B963" s="23" t="str">
        <f>IF('Clockify Raw'!K963="","",VALUE('Clockify Raw'!K963))</f>
        <v/>
      </c>
      <c r="C963" s="23" t="str">
        <f>IF('Clockify Raw'!M963="","",VALUE('Clockify Raw'!M963))</f>
        <v/>
      </c>
      <c r="D963" t="str">
        <f>IF('Clockify Raw'!A963="","",IF(LOWER('Clockify Raw'!A963)="break","Break","Work"))</f>
        <v/>
      </c>
      <c r="E963" t="str">
        <f>IF('Clockify Raw'!A963="","",IF(LOWER('Clockify Raw'!A963)="break","Break",IF('Clockify Raw'!C963&lt;&gt;"",'Clockify Raw'!C963,IF('Clockify Raw'!D963&lt;&gt;"",'Clockify Raw'!D963,'Clockify Raw'!A963))))</f>
        <v/>
      </c>
      <c r="F963" s="24" t="str">
        <f>IF('Clockify Raw'!O963="","",'Clockify Raw'!O963/24)</f>
        <v/>
      </c>
      <c r="G963" t="str">
        <f>IF(A963="","",COUNTIFS($A$2:$A$1000,A963,$B$2:$B$1000,"&lt;"&amp;B963)+COUNTIFS($A$2:A963,A963,$B$2:B963,B963))</f>
        <v/>
      </c>
      <c r="H963" t="str">
        <f t="shared" si="15"/>
        <v/>
      </c>
    </row>
    <row r="964" spans="1:8">
      <c r="A964" s="25" t="str">
        <f>IF('Clockify Raw'!J964="","",'Clockify Raw'!J964)</f>
        <v/>
      </c>
      <c r="B964" s="23" t="str">
        <f>IF('Clockify Raw'!K964="","",VALUE('Clockify Raw'!K964))</f>
        <v/>
      </c>
      <c r="C964" s="23" t="str">
        <f>IF('Clockify Raw'!M964="","",VALUE('Clockify Raw'!M964))</f>
        <v/>
      </c>
      <c r="D964" t="str">
        <f>IF('Clockify Raw'!A964="","",IF(LOWER('Clockify Raw'!A964)="break","Break","Work"))</f>
        <v/>
      </c>
      <c r="E964" t="str">
        <f>IF('Clockify Raw'!A964="","",IF(LOWER('Clockify Raw'!A964)="break","Break",IF('Clockify Raw'!C964&lt;&gt;"",'Clockify Raw'!C964,IF('Clockify Raw'!D964&lt;&gt;"",'Clockify Raw'!D964,'Clockify Raw'!A964))))</f>
        <v/>
      </c>
      <c r="F964" s="24" t="str">
        <f>IF('Clockify Raw'!O964="","",'Clockify Raw'!O964/24)</f>
        <v/>
      </c>
      <c r="G964" t="str">
        <f>IF(A964="","",COUNTIFS($A$2:$A$1000,A964,$B$2:$B$1000,"&lt;"&amp;B964)+COUNTIFS($A$2:A964,A964,$B$2:B964,B964))</f>
        <v/>
      </c>
      <c r="H964" t="str">
        <f t="shared" si="15"/>
        <v/>
      </c>
    </row>
    <row r="965" spans="1:8">
      <c r="A965" s="25" t="str">
        <f>IF('Clockify Raw'!J965="","",'Clockify Raw'!J965)</f>
        <v/>
      </c>
      <c r="B965" s="23" t="str">
        <f>IF('Clockify Raw'!K965="","",VALUE('Clockify Raw'!K965))</f>
        <v/>
      </c>
      <c r="C965" s="23" t="str">
        <f>IF('Clockify Raw'!M965="","",VALUE('Clockify Raw'!M965))</f>
        <v/>
      </c>
      <c r="D965" t="str">
        <f>IF('Clockify Raw'!A965="","",IF(LOWER('Clockify Raw'!A965)="break","Break","Work"))</f>
        <v/>
      </c>
      <c r="E965" t="str">
        <f>IF('Clockify Raw'!A965="","",IF(LOWER('Clockify Raw'!A965)="break","Break",IF('Clockify Raw'!C965&lt;&gt;"",'Clockify Raw'!C965,IF('Clockify Raw'!D965&lt;&gt;"",'Clockify Raw'!D965,'Clockify Raw'!A965))))</f>
        <v/>
      </c>
      <c r="F965" s="24" t="str">
        <f>IF('Clockify Raw'!O965="","",'Clockify Raw'!O965/24)</f>
        <v/>
      </c>
      <c r="G965" t="str">
        <f>IF(A965="","",COUNTIFS($A$2:$A$1000,A965,$B$2:$B$1000,"&lt;"&amp;B965)+COUNTIFS($A$2:A965,A965,$B$2:B965,B965))</f>
        <v/>
      </c>
      <c r="H965" t="str">
        <f t="shared" si="15"/>
        <v/>
      </c>
    </row>
    <row r="966" spans="1:8">
      <c r="A966" s="25" t="str">
        <f>IF('Clockify Raw'!J966="","",'Clockify Raw'!J966)</f>
        <v/>
      </c>
      <c r="B966" s="23" t="str">
        <f>IF('Clockify Raw'!K966="","",VALUE('Clockify Raw'!K966))</f>
        <v/>
      </c>
      <c r="C966" s="23" t="str">
        <f>IF('Clockify Raw'!M966="","",VALUE('Clockify Raw'!M966))</f>
        <v/>
      </c>
      <c r="D966" t="str">
        <f>IF('Clockify Raw'!A966="","",IF(LOWER('Clockify Raw'!A966)="break","Break","Work"))</f>
        <v/>
      </c>
      <c r="E966" t="str">
        <f>IF('Clockify Raw'!A966="","",IF(LOWER('Clockify Raw'!A966)="break","Break",IF('Clockify Raw'!C966&lt;&gt;"",'Clockify Raw'!C966,IF('Clockify Raw'!D966&lt;&gt;"",'Clockify Raw'!D966,'Clockify Raw'!A966))))</f>
        <v/>
      </c>
      <c r="F966" s="24" t="str">
        <f>IF('Clockify Raw'!O966="","",'Clockify Raw'!O966/24)</f>
        <v/>
      </c>
      <c r="G966" t="str">
        <f>IF(A966="","",COUNTIFS($A$2:$A$1000,A966,$B$2:$B$1000,"&lt;"&amp;B966)+COUNTIFS($A$2:A966,A966,$B$2:B966,B966))</f>
        <v/>
      </c>
      <c r="H966" t="str">
        <f t="shared" si="15"/>
        <v/>
      </c>
    </row>
    <row r="967" spans="1:8">
      <c r="A967" s="25" t="str">
        <f>IF('Clockify Raw'!J967="","",'Clockify Raw'!J967)</f>
        <v/>
      </c>
      <c r="B967" s="23" t="str">
        <f>IF('Clockify Raw'!K967="","",VALUE('Clockify Raw'!K967))</f>
        <v/>
      </c>
      <c r="C967" s="23" t="str">
        <f>IF('Clockify Raw'!M967="","",VALUE('Clockify Raw'!M967))</f>
        <v/>
      </c>
      <c r="D967" t="str">
        <f>IF('Clockify Raw'!A967="","",IF(LOWER('Clockify Raw'!A967)="break","Break","Work"))</f>
        <v/>
      </c>
      <c r="E967" t="str">
        <f>IF('Clockify Raw'!A967="","",IF(LOWER('Clockify Raw'!A967)="break","Break",IF('Clockify Raw'!C967&lt;&gt;"",'Clockify Raw'!C967,IF('Clockify Raw'!D967&lt;&gt;"",'Clockify Raw'!D967,'Clockify Raw'!A967))))</f>
        <v/>
      </c>
      <c r="F967" s="24" t="str">
        <f>IF('Clockify Raw'!O967="","",'Clockify Raw'!O967/24)</f>
        <v/>
      </c>
      <c r="G967" t="str">
        <f>IF(A967="","",COUNTIFS($A$2:$A$1000,A967,$B$2:$B$1000,"&lt;"&amp;B967)+COUNTIFS($A$2:A967,A967,$B$2:B967,B967))</f>
        <v/>
      </c>
      <c r="H967" t="str">
        <f t="shared" si="15"/>
        <v/>
      </c>
    </row>
    <row r="968" spans="1:8">
      <c r="A968" s="25" t="str">
        <f>IF('Clockify Raw'!J968="","",'Clockify Raw'!J968)</f>
        <v/>
      </c>
      <c r="B968" s="23" t="str">
        <f>IF('Clockify Raw'!K968="","",VALUE('Clockify Raw'!K968))</f>
        <v/>
      </c>
      <c r="C968" s="23" t="str">
        <f>IF('Clockify Raw'!M968="","",VALUE('Clockify Raw'!M968))</f>
        <v/>
      </c>
      <c r="D968" t="str">
        <f>IF('Clockify Raw'!A968="","",IF(LOWER('Clockify Raw'!A968)="break","Break","Work"))</f>
        <v/>
      </c>
      <c r="E968" t="str">
        <f>IF('Clockify Raw'!A968="","",IF(LOWER('Clockify Raw'!A968)="break","Break",IF('Clockify Raw'!C968&lt;&gt;"",'Clockify Raw'!C968,IF('Clockify Raw'!D968&lt;&gt;"",'Clockify Raw'!D968,'Clockify Raw'!A968))))</f>
        <v/>
      </c>
      <c r="F968" s="24" t="str">
        <f>IF('Clockify Raw'!O968="","",'Clockify Raw'!O968/24)</f>
        <v/>
      </c>
      <c r="G968" t="str">
        <f>IF(A968="","",COUNTIFS($A$2:$A$1000,A968,$B$2:$B$1000,"&lt;"&amp;B968)+COUNTIFS($A$2:A968,A968,$B$2:B968,B968))</f>
        <v/>
      </c>
      <c r="H968" t="str">
        <f t="shared" si="15"/>
        <v/>
      </c>
    </row>
    <row r="969" spans="1:8">
      <c r="A969" s="25" t="str">
        <f>IF('Clockify Raw'!J969="","",'Clockify Raw'!J969)</f>
        <v/>
      </c>
      <c r="B969" s="23" t="str">
        <f>IF('Clockify Raw'!K969="","",VALUE('Clockify Raw'!K969))</f>
        <v/>
      </c>
      <c r="C969" s="23" t="str">
        <f>IF('Clockify Raw'!M969="","",VALUE('Clockify Raw'!M969))</f>
        <v/>
      </c>
      <c r="D969" t="str">
        <f>IF('Clockify Raw'!A969="","",IF(LOWER('Clockify Raw'!A969)="break","Break","Work"))</f>
        <v/>
      </c>
      <c r="E969" t="str">
        <f>IF('Clockify Raw'!A969="","",IF(LOWER('Clockify Raw'!A969)="break","Break",IF('Clockify Raw'!C969&lt;&gt;"",'Clockify Raw'!C969,IF('Clockify Raw'!D969&lt;&gt;"",'Clockify Raw'!D969,'Clockify Raw'!A969))))</f>
        <v/>
      </c>
      <c r="F969" s="24" t="str">
        <f>IF('Clockify Raw'!O969="","",'Clockify Raw'!O969/24)</f>
        <v/>
      </c>
      <c r="G969" t="str">
        <f>IF(A969="","",COUNTIFS($A$2:$A$1000,A969,$B$2:$B$1000,"&lt;"&amp;B969)+COUNTIFS($A$2:A969,A969,$B$2:B969,B969))</f>
        <v/>
      </c>
      <c r="H969" t="str">
        <f t="shared" si="15"/>
        <v/>
      </c>
    </row>
    <row r="970" spans="1:8">
      <c r="A970" s="25" t="str">
        <f>IF('Clockify Raw'!J970="","",'Clockify Raw'!J970)</f>
        <v/>
      </c>
      <c r="B970" s="23" t="str">
        <f>IF('Clockify Raw'!K970="","",VALUE('Clockify Raw'!K970))</f>
        <v/>
      </c>
      <c r="C970" s="23" t="str">
        <f>IF('Clockify Raw'!M970="","",VALUE('Clockify Raw'!M970))</f>
        <v/>
      </c>
      <c r="D970" t="str">
        <f>IF('Clockify Raw'!A970="","",IF(LOWER('Clockify Raw'!A970)="break","Break","Work"))</f>
        <v/>
      </c>
      <c r="E970" t="str">
        <f>IF('Clockify Raw'!A970="","",IF(LOWER('Clockify Raw'!A970)="break","Break",IF('Clockify Raw'!C970&lt;&gt;"",'Clockify Raw'!C970,IF('Clockify Raw'!D970&lt;&gt;"",'Clockify Raw'!D970,'Clockify Raw'!A970))))</f>
        <v/>
      </c>
      <c r="F970" s="24" t="str">
        <f>IF('Clockify Raw'!O970="","",'Clockify Raw'!O970/24)</f>
        <v/>
      </c>
      <c r="G970" t="str">
        <f>IF(A970="","",COUNTIFS($A$2:$A$1000,A970,$B$2:$B$1000,"&lt;"&amp;B970)+COUNTIFS($A$2:A970,A970,$B$2:B970,B970))</f>
        <v/>
      </c>
      <c r="H970" t="str">
        <f t="shared" si="15"/>
        <v/>
      </c>
    </row>
    <row r="971" spans="1:8">
      <c r="A971" s="25" t="str">
        <f>IF('Clockify Raw'!J971="","",'Clockify Raw'!J971)</f>
        <v/>
      </c>
      <c r="B971" s="23" t="str">
        <f>IF('Clockify Raw'!K971="","",VALUE('Clockify Raw'!K971))</f>
        <v/>
      </c>
      <c r="C971" s="23" t="str">
        <f>IF('Clockify Raw'!M971="","",VALUE('Clockify Raw'!M971))</f>
        <v/>
      </c>
      <c r="D971" t="str">
        <f>IF('Clockify Raw'!A971="","",IF(LOWER('Clockify Raw'!A971)="break","Break","Work"))</f>
        <v/>
      </c>
      <c r="E971" t="str">
        <f>IF('Clockify Raw'!A971="","",IF(LOWER('Clockify Raw'!A971)="break","Break",IF('Clockify Raw'!C971&lt;&gt;"",'Clockify Raw'!C971,IF('Clockify Raw'!D971&lt;&gt;"",'Clockify Raw'!D971,'Clockify Raw'!A971))))</f>
        <v/>
      </c>
      <c r="F971" s="24" t="str">
        <f>IF('Clockify Raw'!O971="","",'Clockify Raw'!O971/24)</f>
        <v/>
      </c>
      <c r="G971" t="str">
        <f>IF(A971="","",COUNTIFS($A$2:$A$1000,A971,$B$2:$B$1000,"&lt;"&amp;B971)+COUNTIFS($A$2:A971,A971,$B$2:B971,B971))</f>
        <v/>
      </c>
      <c r="H971" t="str">
        <f t="shared" si="15"/>
        <v/>
      </c>
    </row>
    <row r="972" spans="1:8">
      <c r="A972" s="25" t="str">
        <f>IF('Clockify Raw'!J972="","",'Clockify Raw'!J972)</f>
        <v/>
      </c>
      <c r="B972" s="23" t="str">
        <f>IF('Clockify Raw'!K972="","",VALUE('Clockify Raw'!K972))</f>
        <v/>
      </c>
      <c r="C972" s="23" t="str">
        <f>IF('Clockify Raw'!M972="","",VALUE('Clockify Raw'!M972))</f>
        <v/>
      </c>
      <c r="D972" t="str">
        <f>IF('Clockify Raw'!A972="","",IF(LOWER('Clockify Raw'!A972)="break","Break","Work"))</f>
        <v/>
      </c>
      <c r="E972" t="str">
        <f>IF('Clockify Raw'!A972="","",IF(LOWER('Clockify Raw'!A972)="break","Break",IF('Clockify Raw'!C972&lt;&gt;"",'Clockify Raw'!C972,IF('Clockify Raw'!D972&lt;&gt;"",'Clockify Raw'!D972,'Clockify Raw'!A972))))</f>
        <v/>
      </c>
      <c r="F972" s="24" t="str">
        <f>IF('Clockify Raw'!O972="","",'Clockify Raw'!O972/24)</f>
        <v/>
      </c>
      <c r="G972" t="str">
        <f>IF(A972="","",COUNTIFS($A$2:$A$1000,A972,$B$2:$B$1000,"&lt;"&amp;B972)+COUNTIFS($A$2:A972,A972,$B$2:B972,B972))</f>
        <v/>
      </c>
      <c r="H972" t="str">
        <f t="shared" si="15"/>
        <v/>
      </c>
    </row>
    <row r="973" spans="1:8">
      <c r="A973" s="25" t="str">
        <f>IF('Clockify Raw'!J973="","",'Clockify Raw'!J973)</f>
        <v/>
      </c>
      <c r="B973" s="23" t="str">
        <f>IF('Clockify Raw'!K973="","",VALUE('Clockify Raw'!K973))</f>
        <v/>
      </c>
      <c r="C973" s="23" t="str">
        <f>IF('Clockify Raw'!M973="","",VALUE('Clockify Raw'!M973))</f>
        <v/>
      </c>
      <c r="D973" t="str">
        <f>IF('Clockify Raw'!A973="","",IF(LOWER('Clockify Raw'!A973)="break","Break","Work"))</f>
        <v/>
      </c>
      <c r="E973" t="str">
        <f>IF('Clockify Raw'!A973="","",IF(LOWER('Clockify Raw'!A973)="break","Break",IF('Clockify Raw'!C973&lt;&gt;"",'Clockify Raw'!C973,IF('Clockify Raw'!D973&lt;&gt;"",'Clockify Raw'!D973,'Clockify Raw'!A973))))</f>
        <v/>
      </c>
      <c r="F973" s="24" t="str">
        <f>IF('Clockify Raw'!O973="","",'Clockify Raw'!O973/24)</f>
        <v/>
      </c>
      <c r="G973" t="str">
        <f>IF(A973="","",COUNTIFS($A$2:$A$1000,A973,$B$2:$B$1000,"&lt;"&amp;B973)+COUNTIFS($A$2:A973,A973,$B$2:B973,B973))</f>
        <v/>
      </c>
      <c r="H973" t="str">
        <f t="shared" si="15"/>
        <v/>
      </c>
    </row>
    <row r="974" spans="1:8">
      <c r="A974" s="25" t="str">
        <f>IF('Clockify Raw'!J974="","",'Clockify Raw'!J974)</f>
        <v/>
      </c>
      <c r="B974" s="23" t="str">
        <f>IF('Clockify Raw'!K974="","",VALUE('Clockify Raw'!K974))</f>
        <v/>
      </c>
      <c r="C974" s="23" t="str">
        <f>IF('Clockify Raw'!M974="","",VALUE('Clockify Raw'!M974))</f>
        <v/>
      </c>
      <c r="D974" t="str">
        <f>IF('Clockify Raw'!A974="","",IF(LOWER('Clockify Raw'!A974)="break","Break","Work"))</f>
        <v/>
      </c>
      <c r="E974" t="str">
        <f>IF('Clockify Raw'!A974="","",IF(LOWER('Clockify Raw'!A974)="break","Break",IF('Clockify Raw'!C974&lt;&gt;"",'Clockify Raw'!C974,IF('Clockify Raw'!D974&lt;&gt;"",'Clockify Raw'!D974,'Clockify Raw'!A974))))</f>
        <v/>
      </c>
      <c r="F974" s="24" t="str">
        <f>IF('Clockify Raw'!O974="","",'Clockify Raw'!O974/24)</f>
        <v/>
      </c>
      <c r="G974" t="str">
        <f>IF(A974="","",COUNTIFS($A$2:$A$1000,A974,$B$2:$B$1000,"&lt;"&amp;B974)+COUNTIFS($A$2:A974,A974,$B$2:B974,B974))</f>
        <v/>
      </c>
      <c r="H974" t="str">
        <f t="shared" si="15"/>
        <v/>
      </c>
    </row>
    <row r="975" spans="1:8">
      <c r="A975" s="25" t="str">
        <f>IF('Clockify Raw'!J975="","",'Clockify Raw'!J975)</f>
        <v/>
      </c>
      <c r="B975" s="23" t="str">
        <f>IF('Clockify Raw'!K975="","",VALUE('Clockify Raw'!K975))</f>
        <v/>
      </c>
      <c r="C975" s="23" t="str">
        <f>IF('Clockify Raw'!M975="","",VALUE('Clockify Raw'!M975))</f>
        <v/>
      </c>
      <c r="D975" t="str">
        <f>IF('Clockify Raw'!A975="","",IF(LOWER('Clockify Raw'!A975)="break","Break","Work"))</f>
        <v/>
      </c>
      <c r="E975" t="str">
        <f>IF('Clockify Raw'!A975="","",IF(LOWER('Clockify Raw'!A975)="break","Break",IF('Clockify Raw'!C975&lt;&gt;"",'Clockify Raw'!C975,IF('Clockify Raw'!D975&lt;&gt;"",'Clockify Raw'!D975,'Clockify Raw'!A975))))</f>
        <v/>
      </c>
      <c r="F975" s="24" t="str">
        <f>IF('Clockify Raw'!O975="","",'Clockify Raw'!O975/24)</f>
        <v/>
      </c>
      <c r="G975" t="str">
        <f>IF(A975="","",COUNTIFS($A$2:$A$1000,A975,$B$2:$B$1000,"&lt;"&amp;B975)+COUNTIFS($A$2:A975,A975,$B$2:B975,B975))</f>
        <v/>
      </c>
      <c r="H975" t="str">
        <f t="shared" si="15"/>
        <v/>
      </c>
    </row>
    <row r="976" spans="1:8">
      <c r="A976" s="25" t="str">
        <f>IF('Clockify Raw'!J976="","",'Clockify Raw'!J976)</f>
        <v/>
      </c>
      <c r="B976" s="23" t="str">
        <f>IF('Clockify Raw'!K976="","",VALUE('Clockify Raw'!K976))</f>
        <v/>
      </c>
      <c r="C976" s="23" t="str">
        <f>IF('Clockify Raw'!M976="","",VALUE('Clockify Raw'!M976))</f>
        <v/>
      </c>
      <c r="D976" t="str">
        <f>IF('Clockify Raw'!A976="","",IF(LOWER('Clockify Raw'!A976)="break","Break","Work"))</f>
        <v/>
      </c>
      <c r="E976" t="str">
        <f>IF('Clockify Raw'!A976="","",IF(LOWER('Clockify Raw'!A976)="break","Break",IF('Clockify Raw'!C976&lt;&gt;"",'Clockify Raw'!C976,IF('Clockify Raw'!D976&lt;&gt;"",'Clockify Raw'!D976,'Clockify Raw'!A976))))</f>
        <v/>
      </c>
      <c r="F976" s="24" t="str">
        <f>IF('Clockify Raw'!O976="","",'Clockify Raw'!O976/24)</f>
        <v/>
      </c>
      <c r="G976" t="str">
        <f>IF(A976="","",COUNTIFS($A$2:$A$1000,A976,$B$2:$B$1000,"&lt;"&amp;B976)+COUNTIFS($A$2:A976,A976,$B$2:B976,B976))</f>
        <v/>
      </c>
      <c r="H976" t="str">
        <f t="shared" si="15"/>
        <v/>
      </c>
    </row>
    <row r="977" spans="1:8">
      <c r="A977" s="25" t="str">
        <f>IF('Clockify Raw'!J977="","",'Clockify Raw'!J977)</f>
        <v/>
      </c>
      <c r="B977" s="23" t="str">
        <f>IF('Clockify Raw'!K977="","",VALUE('Clockify Raw'!K977))</f>
        <v/>
      </c>
      <c r="C977" s="23" t="str">
        <f>IF('Clockify Raw'!M977="","",VALUE('Clockify Raw'!M977))</f>
        <v/>
      </c>
      <c r="D977" t="str">
        <f>IF('Clockify Raw'!A977="","",IF(LOWER('Clockify Raw'!A977)="break","Break","Work"))</f>
        <v/>
      </c>
      <c r="E977" t="str">
        <f>IF('Clockify Raw'!A977="","",IF(LOWER('Clockify Raw'!A977)="break","Break",IF('Clockify Raw'!C977&lt;&gt;"",'Clockify Raw'!C977,IF('Clockify Raw'!D977&lt;&gt;"",'Clockify Raw'!D977,'Clockify Raw'!A977))))</f>
        <v/>
      </c>
      <c r="F977" s="24" t="str">
        <f>IF('Clockify Raw'!O977="","",'Clockify Raw'!O977/24)</f>
        <v/>
      </c>
      <c r="G977" t="str">
        <f>IF(A977="","",COUNTIFS($A$2:$A$1000,A977,$B$2:$B$1000,"&lt;"&amp;B977)+COUNTIFS($A$2:A977,A977,$B$2:B977,B977))</f>
        <v/>
      </c>
      <c r="H977" t="str">
        <f t="shared" si="15"/>
        <v/>
      </c>
    </row>
    <row r="978" spans="1:8">
      <c r="A978" s="25" t="str">
        <f>IF('Clockify Raw'!J978="","",'Clockify Raw'!J978)</f>
        <v/>
      </c>
      <c r="B978" s="23" t="str">
        <f>IF('Clockify Raw'!K978="","",VALUE('Clockify Raw'!K978))</f>
        <v/>
      </c>
      <c r="C978" s="23" t="str">
        <f>IF('Clockify Raw'!M978="","",VALUE('Clockify Raw'!M978))</f>
        <v/>
      </c>
      <c r="D978" t="str">
        <f>IF('Clockify Raw'!A978="","",IF(LOWER('Clockify Raw'!A978)="break","Break","Work"))</f>
        <v/>
      </c>
      <c r="E978" t="str">
        <f>IF('Clockify Raw'!A978="","",IF(LOWER('Clockify Raw'!A978)="break","Break",IF('Clockify Raw'!C978&lt;&gt;"",'Clockify Raw'!C978,IF('Clockify Raw'!D978&lt;&gt;"",'Clockify Raw'!D978,'Clockify Raw'!A978))))</f>
        <v/>
      </c>
      <c r="F978" s="24" t="str">
        <f>IF('Clockify Raw'!O978="","",'Clockify Raw'!O978/24)</f>
        <v/>
      </c>
      <c r="G978" t="str">
        <f>IF(A978="","",COUNTIFS($A$2:$A$1000,A978,$B$2:$B$1000,"&lt;"&amp;B978)+COUNTIFS($A$2:A978,A978,$B$2:B978,B978))</f>
        <v/>
      </c>
      <c r="H978" t="str">
        <f t="shared" si="15"/>
        <v/>
      </c>
    </row>
    <row r="979" spans="1:8">
      <c r="A979" s="25" t="str">
        <f>IF('Clockify Raw'!J979="","",'Clockify Raw'!J979)</f>
        <v/>
      </c>
      <c r="B979" s="23" t="str">
        <f>IF('Clockify Raw'!K979="","",VALUE('Clockify Raw'!K979))</f>
        <v/>
      </c>
      <c r="C979" s="23" t="str">
        <f>IF('Clockify Raw'!M979="","",VALUE('Clockify Raw'!M979))</f>
        <v/>
      </c>
      <c r="D979" t="str">
        <f>IF('Clockify Raw'!A979="","",IF(LOWER('Clockify Raw'!A979)="break","Break","Work"))</f>
        <v/>
      </c>
      <c r="E979" t="str">
        <f>IF('Clockify Raw'!A979="","",IF(LOWER('Clockify Raw'!A979)="break","Break",IF('Clockify Raw'!C979&lt;&gt;"",'Clockify Raw'!C979,IF('Clockify Raw'!D979&lt;&gt;"",'Clockify Raw'!D979,'Clockify Raw'!A979))))</f>
        <v/>
      </c>
      <c r="F979" s="24" t="str">
        <f>IF('Clockify Raw'!O979="","",'Clockify Raw'!O979/24)</f>
        <v/>
      </c>
      <c r="G979" t="str">
        <f>IF(A979="","",COUNTIFS($A$2:$A$1000,A979,$B$2:$B$1000,"&lt;"&amp;B979)+COUNTIFS($A$2:A979,A979,$B$2:B979,B979))</f>
        <v/>
      </c>
      <c r="H979" t="str">
        <f t="shared" si="15"/>
        <v/>
      </c>
    </row>
    <row r="980" spans="1:8">
      <c r="A980" s="25" t="str">
        <f>IF('Clockify Raw'!J980="","",'Clockify Raw'!J980)</f>
        <v/>
      </c>
      <c r="B980" s="23" t="str">
        <f>IF('Clockify Raw'!K980="","",VALUE('Clockify Raw'!K980))</f>
        <v/>
      </c>
      <c r="C980" s="23" t="str">
        <f>IF('Clockify Raw'!M980="","",VALUE('Clockify Raw'!M980))</f>
        <v/>
      </c>
      <c r="D980" t="str">
        <f>IF('Clockify Raw'!A980="","",IF(LOWER('Clockify Raw'!A980)="break","Break","Work"))</f>
        <v/>
      </c>
      <c r="E980" t="str">
        <f>IF('Clockify Raw'!A980="","",IF(LOWER('Clockify Raw'!A980)="break","Break",IF('Clockify Raw'!C980&lt;&gt;"",'Clockify Raw'!C980,IF('Clockify Raw'!D980&lt;&gt;"",'Clockify Raw'!D980,'Clockify Raw'!A980))))</f>
        <v/>
      </c>
      <c r="F980" s="24" t="str">
        <f>IF('Clockify Raw'!O980="","",'Clockify Raw'!O980/24)</f>
        <v/>
      </c>
      <c r="G980" t="str">
        <f>IF(A980="","",COUNTIFS($A$2:$A$1000,A980,$B$2:$B$1000,"&lt;"&amp;B980)+COUNTIFS($A$2:A980,A980,$B$2:B980,B980))</f>
        <v/>
      </c>
      <c r="H980" t="str">
        <f t="shared" si="15"/>
        <v/>
      </c>
    </row>
    <row r="981" spans="1:8">
      <c r="A981" s="25" t="str">
        <f>IF('Clockify Raw'!J981="","",'Clockify Raw'!J981)</f>
        <v/>
      </c>
      <c r="B981" s="23" t="str">
        <f>IF('Clockify Raw'!K981="","",VALUE('Clockify Raw'!K981))</f>
        <v/>
      </c>
      <c r="C981" s="23" t="str">
        <f>IF('Clockify Raw'!M981="","",VALUE('Clockify Raw'!M981))</f>
        <v/>
      </c>
      <c r="D981" t="str">
        <f>IF('Clockify Raw'!A981="","",IF(LOWER('Clockify Raw'!A981)="break","Break","Work"))</f>
        <v/>
      </c>
      <c r="E981" t="str">
        <f>IF('Clockify Raw'!A981="","",IF(LOWER('Clockify Raw'!A981)="break","Break",IF('Clockify Raw'!C981&lt;&gt;"",'Clockify Raw'!C981,IF('Clockify Raw'!D981&lt;&gt;"",'Clockify Raw'!D981,'Clockify Raw'!A981))))</f>
        <v/>
      </c>
      <c r="F981" s="24" t="str">
        <f>IF('Clockify Raw'!O981="","",'Clockify Raw'!O981/24)</f>
        <v/>
      </c>
      <c r="G981" t="str">
        <f>IF(A981="","",COUNTIFS($A$2:$A$1000,A981,$B$2:$B$1000,"&lt;"&amp;B981)+COUNTIFS($A$2:A981,A981,$B$2:B981,B981))</f>
        <v/>
      </c>
      <c r="H981" t="str">
        <f t="shared" si="15"/>
        <v/>
      </c>
    </row>
    <row r="982" spans="1:8">
      <c r="A982" s="25" t="str">
        <f>IF('Clockify Raw'!J982="","",'Clockify Raw'!J982)</f>
        <v/>
      </c>
      <c r="B982" s="23" t="str">
        <f>IF('Clockify Raw'!K982="","",VALUE('Clockify Raw'!K982))</f>
        <v/>
      </c>
      <c r="C982" s="23" t="str">
        <f>IF('Clockify Raw'!M982="","",VALUE('Clockify Raw'!M982))</f>
        <v/>
      </c>
      <c r="D982" t="str">
        <f>IF('Clockify Raw'!A982="","",IF(LOWER('Clockify Raw'!A982)="break","Break","Work"))</f>
        <v/>
      </c>
      <c r="E982" t="str">
        <f>IF('Clockify Raw'!A982="","",IF(LOWER('Clockify Raw'!A982)="break","Break",IF('Clockify Raw'!C982&lt;&gt;"",'Clockify Raw'!C982,IF('Clockify Raw'!D982&lt;&gt;"",'Clockify Raw'!D982,'Clockify Raw'!A982))))</f>
        <v/>
      </c>
      <c r="F982" s="24" t="str">
        <f>IF('Clockify Raw'!O982="","",'Clockify Raw'!O982/24)</f>
        <v/>
      </c>
      <c r="G982" t="str">
        <f>IF(A982="","",COUNTIFS($A$2:$A$1000,A982,$B$2:$B$1000,"&lt;"&amp;B982)+COUNTIFS($A$2:A982,A982,$B$2:B982,B982))</f>
        <v/>
      </c>
      <c r="H982" t="str">
        <f t="shared" si="15"/>
        <v/>
      </c>
    </row>
    <row r="983" spans="1:8">
      <c r="A983" s="25" t="str">
        <f>IF('Clockify Raw'!J983="","",'Clockify Raw'!J983)</f>
        <v/>
      </c>
      <c r="B983" s="23" t="str">
        <f>IF('Clockify Raw'!K983="","",VALUE('Clockify Raw'!K983))</f>
        <v/>
      </c>
      <c r="C983" s="23" t="str">
        <f>IF('Clockify Raw'!M983="","",VALUE('Clockify Raw'!M983))</f>
        <v/>
      </c>
      <c r="D983" t="str">
        <f>IF('Clockify Raw'!A983="","",IF(LOWER('Clockify Raw'!A983)="break","Break","Work"))</f>
        <v/>
      </c>
      <c r="E983" t="str">
        <f>IF('Clockify Raw'!A983="","",IF(LOWER('Clockify Raw'!A983)="break","Break",IF('Clockify Raw'!C983&lt;&gt;"",'Clockify Raw'!C983,IF('Clockify Raw'!D983&lt;&gt;"",'Clockify Raw'!D983,'Clockify Raw'!A983))))</f>
        <v/>
      </c>
      <c r="F983" s="24" t="str">
        <f>IF('Clockify Raw'!O983="","",'Clockify Raw'!O983/24)</f>
        <v/>
      </c>
      <c r="G983" t="str">
        <f>IF(A983="","",COUNTIFS($A$2:$A$1000,A983,$B$2:$B$1000,"&lt;"&amp;B983)+COUNTIFS($A$2:A983,A983,$B$2:B983,B983))</f>
        <v/>
      </c>
      <c r="H983" t="str">
        <f t="shared" si="15"/>
        <v/>
      </c>
    </row>
    <row r="984" spans="1:8">
      <c r="A984" s="25" t="str">
        <f>IF('Clockify Raw'!J984="","",'Clockify Raw'!J984)</f>
        <v/>
      </c>
      <c r="B984" s="23" t="str">
        <f>IF('Clockify Raw'!K984="","",VALUE('Clockify Raw'!K984))</f>
        <v/>
      </c>
      <c r="C984" s="23" t="str">
        <f>IF('Clockify Raw'!M984="","",VALUE('Clockify Raw'!M984))</f>
        <v/>
      </c>
      <c r="D984" t="str">
        <f>IF('Clockify Raw'!A984="","",IF(LOWER('Clockify Raw'!A984)="break","Break","Work"))</f>
        <v/>
      </c>
      <c r="E984" t="str">
        <f>IF('Clockify Raw'!A984="","",IF(LOWER('Clockify Raw'!A984)="break","Break",IF('Clockify Raw'!C984&lt;&gt;"",'Clockify Raw'!C984,IF('Clockify Raw'!D984&lt;&gt;"",'Clockify Raw'!D984,'Clockify Raw'!A984))))</f>
        <v/>
      </c>
      <c r="F984" s="24" t="str">
        <f>IF('Clockify Raw'!O984="","",'Clockify Raw'!O984/24)</f>
        <v/>
      </c>
      <c r="G984" t="str">
        <f>IF(A984="","",COUNTIFS($A$2:$A$1000,A984,$B$2:$B$1000,"&lt;"&amp;B984)+COUNTIFS($A$2:A984,A984,$B$2:B984,B984))</f>
        <v/>
      </c>
      <c r="H984" t="str">
        <f t="shared" si="15"/>
        <v/>
      </c>
    </row>
    <row r="985" spans="1:8">
      <c r="A985" s="25" t="str">
        <f>IF('Clockify Raw'!J985="","",'Clockify Raw'!J985)</f>
        <v/>
      </c>
      <c r="B985" s="23" t="str">
        <f>IF('Clockify Raw'!K985="","",VALUE('Clockify Raw'!K985))</f>
        <v/>
      </c>
      <c r="C985" s="23" t="str">
        <f>IF('Clockify Raw'!M985="","",VALUE('Clockify Raw'!M985))</f>
        <v/>
      </c>
      <c r="D985" t="str">
        <f>IF('Clockify Raw'!A985="","",IF(LOWER('Clockify Raw'!A985)="break","Break","Work"))</f>
        <v/>
      </c>
      <c r="E985" t="str">
        <f>IF('Clockify Raw'!A985="","",IF(LOWER('Clockify Raw'!A985)="break","Break",IF('Clockify Raw'!C985&lt;&gt;"",'Clockify Raw'!C985,IF('Clockify Raw'!D985&lt;&gt;"",'Clockify Raw'!D985,'Clockify Raw'!A985))))</f>
        <v/>
      </c>
      <c r="F985" s="24" t="str">
        <f>IF('Clockify Raw'!O985="","",'Clockify Raw'!O985/24)</f>
        <v/>
      </c>
      <c r="G985" t="str">
        <f>IF(A985="","",COUNTIFS($A$2:$A$1000,A985,$B$2:$B$1000,"&lt;"&amp;B985)+COUNTIFS($A$2:A985,A985,$B$2:B985,B985))</f>
        <v/>
      </c>
      <c r="H985" t="str">
        <f t="shared" si="15"/>
        <v/>
      </c>
    </row>
    <row r="986" spans="1:8">
      <c r="A986" s="25" t="str">
        <f>IF('Clockify Raw'!J986="","",'Clockify Raw'!J986)</f>
        <v/>
      </c>
      <c r="B986" s="23" t="str">
        <f>IF('Clockify Raw'!K986="","",VALUE('Clockify Raw'!K986))</f>
        <v/>
      </c>
      <c r="C986" s="23" t="str">
        <f>IF('Clockify Raw'!M986="","",VALUE('Clockify Raw'!M986))</f>
        <v/>
      </c>
      <c r="D986" t="str">
        <f>IF('Clockify Raw'!A986="","",IF(LOWER('Clockify Raw'!A986)="break","Break","Work"))</f>
        <v/>
      </c>
      <c r="E986" t="str">
        <f>IF('Clockify Raw'!A986="","",IF(LOWER('Clockify Raw'!A986)="break","Break",IF('Clockify Raw'!C986&lt;&gt;"",'Clockify Raw'!C986,IF('Clockify Raw'!D986&lt;&gt;"",'Clockify Raw'!D986,'Clockify Raw'!A986))))</f>
        <v/>
      </c>
      <c r="F986" s="24" t="str">
        <f>IF('Clockify Raw'!O986="","",'Clockify Raw'!O986/24)</f>
        <v/>
      </c>
      <c r="G986" t="str">
        <f>IF(A986="","",COUNTIFS($A$2:$A$1000,A986,$B$2:$B$1000,"&lt;"&amp;B986)+COUNTIFS($A$2:A986,A986,$B$2:B986,B986))</f>
        <v/>
      </c>
      <c r="H986" t="str">
        <f t="shared" si="15"/>
        <v/>
      </c>
    </row>
    <row r="987" spans="1:8">
      <c r="A987" s="25" t="str">
        <f>IF('Clockify Raw'!J987="","",'Clockify Raw'!J987)</f>
        <v/>
      </c>
      <c r="B987" s="23" t="str">
        <f>IF('Clockify Raw'!K987="","",VALUE('Clockify Raw'!K987))</f>
        <v/>
      </c>
      <c r="C987" s="23" t="str">
        <f>IF('Clockify Raw'!M987="","",VALUE('Clockify Raw'!M987))</f>
        <v/>
      </c>
      <c r="D987" t="str">
        <f>IF('Clockify Raw'!A987="","",IF(LOWER('Clockify Raw'!A987)="break","Break","Work"))</f>
        <v/>
      </c>
      <c r="E987" t="str">
        <f>IF('Clockify Raw'!A987="","",IF(LOWER('Clockify Raw'!A987)="break","Break",IF('Clockify Raw'!C987&lt;&gt;"",'Clockify Raw'!C987,IF('Clockify Raw'!D987&lt;&gt;"",'Clockify Raw'!D987,'Clockify Raw'!A987))))</f>
        <v/>
      </c>
      <c r="F987" s="24" t="str">
        <f>IF('Clockify Raw'!O987="","",'Clockify Raw'!O987/24)</f>
        <v/>
      </c>
      <c r="G987" t="str">
        <f>IF(A987="","",COUNTIFS($A$2:$A$1000,A987,$B$2:$B$1000,"&lt;"&amp;B987)+COUNTIFS($A$2:A987,A987,$B$2:B987,B987))</f>
        <v/>
      </c>
      <c r="H987" t="str">
        <f t="shared" si="15"/>
        <v/>
      </c>
    </row>
    <row r="988" spans="1:8">
      <c r="A988" s="25" t="str">
        <f>IF('Clockify Raw'!J988="","",'Clockify Raw'!J988)</f>
        <v/>
      </c>
      <c r="B988" s="23" t="str">
        <f>IF('Clockify Raw'!K988="","",VALUE('Clockify Raw'!K988))</f>
        <v/>
      </c>
      <c r="C988" s="23" t="str">
        <f>IF('Clockify Raw'!M988="","",VALUE('Clockify Raw'!M988))</f>
        <v/>
      </c>
      <c r="D988" t="str">
        <f>IF('Clockify Raw'!A988="","",IF(LOWER('Clockify Raw'!A988)="break","Break","Work"))</f>
        <v/>
      </c>
      <c r="E988" t="str">
        <f>IF('Clockify Raw'!A988="","",IF(LOWER('Clockify Raw'!A988)="break","Break",IF('Clockify Raw'!C988&lt;&gt;"",'Clockify Raw'!C988,IF('Clockify Raw'!D988&lt;&gt;"",'Clockify Raw'!D988,'Clockify Raw'!A988))))</f>
        <v/>
      </c>
      <c r="F988" s="24" t="str">
        <f>IF('Clockify Raw'!O988="","",'Clockify Raw'!O988/24)</f>
        <v/>
      </c>
      <c r="G988" t="str">
        <f>IF(A988="","",COUNTIFS($A$2:$A$1000,A988,$B$2:$B$1000,"&lt;"&amp;B988)+COUNTIFS($A$2:A988,A988,$B$2:B988,B988))</f>
        <v/>
      </c>
      <c r="H988" t="str">
        <f t="shared" si="15"/>
        <v/>
      </c>
    </row>
    <row r="989" spans="1:8">
      <c r="A989" s="25" t="str">
        <f>IF('Clockify Raw'!J989="","",'Clockify Raw'!J989)</f>
        <v/>
      </c>
      <c r="B989" s="23" t="str">
        <f>IF('Clockify Raw'!K989="","",VALUE('Clockify Raw'!K989))</f>
        <v/>
      </c>
      <c r="C989" s="23" t="str">
        <f>IF('Clockify Raw'!M989="","",VALUE('Clockify Raw'!M989))</f>
        <v/>
      </c>
      <c r="D989" t="str">
        <f>IF('Clockify Raw'!A989="","",IF(LOWER('Clockify Raw'!A989)="break","Break","Work"))</f>
        <v/>
      </c>
      <c r="E989" t="str">
        <f>IF('Clockify Raw'!A989="","",IF(LOWER('Clockify Raw'!A989)="break","Break",IF('Clockify Raw'!C989&lt;&gt;"",'Clockify Raw'!C989,IF('Clockify Raw'!D989&lt;&gt;"",'Clockify Raw'!D989,'Clockify Raw'!A989))))</f>
        <v/>
      </c>
      <c r="F989" s="24" t="str">
        <f>IF('Clockify Raw'!O989="","",'Clockify Raw'!O989/24)</f>
        <v/>
      </c>
      <c r="G989" t="str">
        <f>IF(A989="","",COUNTIFS($A$2:$A$1000,A989,$B$2:$B$1000,"&lt;"&amp;B989)+COUNTIFS($A$2:A989,A989,$B$2:B989,B989))</f>
        <v/>
      </c>
      <c r="H989" t="str">
        <f t="shared" si="15"/>
        <v/>
      </c>
    </row>
    <row r="990" spans="1:8">
      <c r="A990" s="25" t="str">
        <f>IF('Clockify Raw'!J990="","",'Clockify Raw'!J990)</f>
        <v/>
      </c>
      <c r="B990" s="23" t="str">
        <f>IF('Clockify Raw'!K990="","",VALUE('Clockify Raw'!K990))</f>
        <v/>
      </c>
      <c r="C990" s="23" t="str">
        <f>IF('Clockify Raw'!M990="","",VALUE('Clockify Raw'!M990))</f>
        <v/>
      </c>
      <c r="D990" t="str">
        <f>IF('Clockify Raw'!A990="","",IF(LOWER('Clockify Raw'!A990)="break","Break","Work"))</f>
        <v/>
      </c>
      <c r="E990" t="str">
        <f>IF('Clockify Raw'!A990="","",IF(LOWER('Clockify Raw'!A990)="break","Break",IF('Clockify Raw'!C990&lt;&gt;"",'Clockify Raw'!C990,IF('Clockify Raw'!D990&lt;&gt;"",'Clockify Raw'!D990,'Clockify Raw'!A990))))</f>
        <v/>
      </c>
      <c r="F990" s="24" t="str">
        <f>IF('Clockify Raw'!O990="","",'Clockify Raw'!O990/24)</f>
        <v/>
      </c>
      <c r="G990" t="str">
        <f>IF(A990="","",COUNTIFS($A$2:$A$1000,A990,$B$2:$B$1000,"&lt;"&amp;B990)+COUNTIFS($A$2:A990,A990,$B$2:B990,B990))</f>
        <v/>
      </c>
      <c r="H990" t="str">
        <f t="shared" si="15"/>
        <v/>
      </c>
    </row>
    <row r="991" spans="1:8">
      <c r="A991" s="25" t="str">
        <f>IF('Clockify Raw'!J991="","",'Clockify Raw'!J991)</f>
        <v/>
      </c>
      <c r="B991" s="23" t="str">
        <f>IF('Clockify Raw'!K991="","",VALUE('Clockify Raw'!K991))</f>
        <v/>
      </c>
      <c r="C991" s="23" t="str">
        <f>IF('Clockify Raw'!M991="","",VALUE('Clockify Raw'!M991))</f>
        <v/>
      </c>
      <c r="D991" t="str">
        <f>IF('Clockify Raw'!A991="","",IF(LOWER('Clockify Raw'!A991)="break","Break","Work"))</f>
        <v/>
      </c>
      <c r="E991" t="str">
        <f>IF('Clockify Raw'!A991="","",IF(LOWER('Clockify Raw'!A991)="break","Break",IF('Clockify Raw'!C991&lt;&gt;"",'Clockify Raw'!C991,IF('Clockify Raw'!D991&lt;&gt;"",'Clockify Raw'!D991,'Clockify Raw'!A991))))</f>
        <v/>
      </c>
      <c r="F991" s="24" t="str">
        <f>IF('Clockify Raw'!O991="","",'Clockify Raw'!O991/24)</f>
        <v/>
      </c>
      <c r="G991" t="str">
        <f>IF(A991="","",COUNTIFS($A$2:$A$1000,A991,$B$2:$B$1000,"&lt;"&amp;B991)+COUNTIFS($A$2:A991,A991,$B$2:B991,B991))</f>
        <v/>
      </c>
      <c r="H991" t="str">
        <f t="shared" si="15"/>
        <v/>
      </c>
    </row>
    <row r="992" spans="1:8">
      <c r="A992" s="25" t="str">
        <f>IF('Clockify Raw'!J992="","",'Clockify Raw'!J992)</f>
        <v/>
      </c>
      <c r="B992" s="23" t="str">
        <f>IF('Clockify Raw'!K992="","",VALUE('Clockify Raw'!K992))</f>
        <v/>
      </c>
      <c r="C992" s="23" t="str">
        <f>IF('Clockify Raw'!M992="","",VALUE('Clockify Raw'!M992))</f>
        <v/>
      </c>
      <c r="D992" t="str">
        <f>IF('Clockify Raw'!A992="","",IF(LOWER('Clockify Raw'!A992)="break","Break","Work"))</f>
        <v/>
      </c>
      <c r="E992" t="str">
        <f>IF('Clockify Raw'!A992="","",IF(LOWER('Clockify Raw'!A992)="break","Break",IF('Clockify Raw'!C992&lt;&gt;"",'Clockify Raw'!C992,IF('Clockify Raw'!D992&lt;&gt;"",'Clockify Raw'!D992,'Clockify Raw'!A992))))</f>
        <v/>
      </c>
      <c r="F992" s="24" t="str">
        <f>IF('Clockify Raw'!O992="","",'Clockify Raw'!O992/24)</f>
        <v/>
      </c>
      <c r="G992" t="str">
        <f>IF(A992="","",COUNTIFS($A$2:$A$1000,A992,$B$2:$B$1000,"&lt;"&amp;B992)+COUNTIFS($A$2:A992,A992,$B$2:B992,B992))</f>
        <v/>
      </c>
      <c r="H992" t="str">
        <f t="shared" si="15"/>
        <v/>
      </c>
    </row>
    <row r="993" spans="1:8">
      <c r="A993" s="25" t="str">
        <f>IF('Clockify Raw'!J993="","",'Clockify Raw'!J993)</f>
        <v/>
      </c>
      <c r="B993" s="23" t="str">
        <f>IF('Clockify Raw'!K993="","",VALUE('Clockify Raw'!K993))</f>
        <v/>
      </c>
      <c r="C993" s="23" t="str">
        <f>IF('Clockify Raw'!M993="","",VALUE('Clockify Raw'!M993))</f>
        <v/>
      </c>
      <c r="D993" t="str">
        <f>IF('Clockify Raw'!A993="","",IF(LOWER('Clockify Raw'!A993)="break","Break","Work"))</f>
        <v/>
      </c>
      <c r="E993" t="str">
        <f>IF('Clockify Raw'!A993="","",IF(LOWER('Clockify Raw'!A993)="break","Break",IF('Clockify Raw'!C993&lt;&gt;"",'Clockify Raw'!C993,IF('Clockify Raw'!D993&lt;&gt;"",'Clockify Raw'!D993,'Clockify Raw'!A993))))</f>
        <v/>
      </c>
      <c r="F993" s="24" t="str">
        <f>IF('Clockify Raw'!O993="","",'Clockify Raw'!O993/24)</f>
        <v/>
      </c>
      <c r="G993" t="str">
        <f>IF(A993="","",COUNTIFS($A$2:$A$1000,A993,$B$2:$B$1000,"&lt;"&amp;B993)+COUNTIFS($A$2:A993,A993,$B$2:B993,B993))</f>
        <v/>
      </c>
      <c r="H993" t="str">
        <f t="shared" si="15"/>
        <v/>
      </c>
    </row>
    <row r="994" spans="1:8">
      <c r="A994" s="25" t="str">
        <f>IF('Clockify Raw'!J994="","",'Clockify Raw'!J994)</f>
        <v/>
      </c>
      <c r="B994" s="23" t="str">
        <f>IF('Clockify Raw'!K994="","",VALUE('Clockify Raw'!K994))</f>
        <v/>
      </c>
      <c r="C994" s="23" t="str">
        <f>IF('Clockify Raw'!M994="","",VALUE('Clockify Raw'!M994))</f>
        <v/>
      </c>
      <c r="D994" t="str">
        <f>IF('Clockify Raw'!A994="","",IF(LOWER('Clockify Raw'!A994)="break","Break","Work"))</f>
        <v/>
      </c>
      <c r="E994" t="str">
        <f>IF('Clockify Raw'!A994="","",IF(LOWER('Clockify Raw'!A994)="break","Break",IF('Clockify Raw'!C994&lt;&gt;"",'Clockify Raw'!C994,IF('Clockify Raw'!D994&lt;&gt;"",'Clockify Raw'!D994,'Clockify Raw'!A994))))</f>
        <v/>
      </c>
      <c r="F994" s="24" t="str">
        <f>IF('Clockify Raw'!O994="","",'Clockify Raw'!O994/24)</f>
        <v/>
      </c>
      <c r="G994" t="str">
        <f>IF(A994="","",COUNTIFS($A$2:$A$1000,A994,$B$2:$B$1000,"&lt;"&amp;B994)+COUNTIFS($A$2:A994,A994,$B$2:B994,B994))</f>
        <v/>
      </c>
      <c r="H994" t="str">
        <f t="shared" si="15"/>
        <v/>
      </c>
    </row>
    <row r="995" spans="1:8">
      <c r="A995" s="25" t="str">
        <f>IF('Clockify Raw'!J995="","",'Clockify Raw'!J995)</f>
        <v/>
      </c>
      <c r="B995" s="23" t="str">
        <f>IF('Clockify Raw'!K995="","",VALUE('Clockify Raw'!K995))</f>
        <v/>
      </c>
      <c r="C995" s="23" t="str">
        <f>IF('Clockify Raw'!M995="","",VALUE('Clockify Raw'!M995))</f>
        <v/>
      </c>
      <c r="D995" t="str">
        <f>IF('Clockify Raw'!A995="","",IF(LOWER('Clockify Raw'!A995)="break","Break","Work"))</f>
        <v/>
      </c>
      <c r="E995" t="str">
        <f>IF('Clockify Raw'!A995="","",IF(LOWER('Clockify Raw'!A995)="break","Break",IF('Clockify Raw'!C995&lt;&gt;"",'Clockify Raw'!C995,IF('Clockify Raw'!D995&lt;&gt;"",'Clockify Raw'!D995,'Clockify Raw'!A995))))</f>
        <v/>
      </c>
      <c r="F995" s="24" t="str">
        <f>IF('Clockify Raw'!O995="","",'Clockify Raw'!O995/24)</f>
        <v/>
      </c>
      <c r="G995" t="str">
        <f>IF(A995="","",COUNTIFS($A$2:$A$1000,A995,$B$2:$B$1000,"&lt;"&amp;B995)+COUNTIFS($A$2:A995,A995,$B$2:B995,B995))</f>
        <v/>
      </c>
      <c r="H995" t="str">
        <f t="shared" si="15"/>
        <v/>
      </c>
    </row>
    <row r="996" spans="1:8">
      <c r="A996" s="25" t="str">
        <f>IF('Clockify Raw'!J996="","",'Clockify Raw'!J996)</f>
        <v/>
      </c>
      <c r="B996" s="23" t="str">
        <f>IF('Clockify Raw'!K996="","",VALUE('Clockify Raw'!K996))</f>
        <v/>
      </c>
      <c r="C996" s="23" t="str">
        <f>IF('Clockify Raw'!M996="","",VALUE('Clockify Raw'!M996))</f>
        <v/>
      </c>
      <c r="D996" t="str">
        <f>IF('Clockify Raw'!A996="","",IF(LOWER('Clockify Raw'!A996)="break","Break","Work"))</f>
        <v/>
      </c>
      <c r="E996" t="str">
        <f>IF('Clockify Raw'!A996="","",IF(LOWER('Clockify Raw'!A996)="break","Break",IF('Clockify Raw'!C996&lt;&gt;"",'Clockify Raw'!C996,IF('Clockify Raw'!D996&lt;&gt;"",'Clockify Raw'!D996,'Clockify Raw'!A996))))</f>
        <v/>
      </c>
      <c r="F996" s="24" t="str">
        <f>IF('Clockify Raw'!O996="","",'Clockify Raw'!O996/24)</f>
        <v/>
      </c>
      <c r="G996" t="str">
        <f>IF(A996="","",COUNTIFS($A$2:$A$1000,A996,$B$2:$B$1000,"&lt;"&amp;B996)+COUNTIFS($A$2:A996,A996,$B$2:B996,B996))</f>
        <v/>
      </c>
      <c r="H996" t="str">
        <f t="shared" si="15"/>
        <v/>
      </c>
    </row>
    <row r="997" spans="1:8">
      <c r="A997" s="25" t="str">
        <f>IF('Clockify Raw'!J997="","",'Clockify Raw'!J997)</f>
        <v/>
      </c>
      <c r="B997" s="23" t="str">
        <f>IF('Clockify Raw'!K997="","",VALUE('Clockify Raw'!K997))</f>
        <v/>
      </c>
      <c r="C997" s="23" t="str">
        <f>IF('Clockify Raw'!M997="","",VALUE('Clockify Raw'!M997))</f>
        <v/>
      </c>
      <c r="D997" t="str">
        <f>IF('Clockify Raw'!A997="","",IF(LOWER('Clockify Raw'!A997)="break","Break","Work"))</f>
        <v/>
      </c>
      <c r="E997" t="str">
        <f>IF('Clockify Raw'!A997="","",IF(LOWER('Clockify Raw'!A997)="break","Break",IF('Clockify Raw'!C997&lt;&gt;"",'Clockify Raw'!C997,IF('Clockify Raw'!D997&lt;&gt;"",'Clockify Raw'!D997,'Clockify Raw'!A997))))</f>
        <v/>
      </c>
      <c r="F997" s="24" t="str">
        <f>IF('Clockify Raw'!O997="","",'Clockify Raw'!O997/24)</f>
        <v/>
      </c>
      <c r="G997" t="str">
        <f>IF(A997="","",COUNTIFS($A$2:$A$1000,A997,$B$2:$B$1000,"&lt;"&amp;B997)+COUNTIFS($A$2:A997,A997,$B$2:B997,B997))</f>
        <v/>
      </c>
      <c r="H997" t="str">
        <f t="shared" si="15"/>
        <v/>
      </c>
    </row>
    <row r="998" spans="1:8">
      <c r="A998" s="25" t="str">
        <f>IF('Clockify Raw'!J998="","",'Clockify Raw'!J998)</f>
        <v/>
      </c>
      <c r="B998" s="23" t="str">
        <f>IF('Clockify Raw'!K998="","",VALUE('Clockify Raw'!K998))</f>
        <v/>
      </c>
      <c r="C998" s="23" t="str">
        <f>IF('Clockify Raw'!M998="","",VALUE('Clockify Raw'!M998))</f>
        <v/>
      </c>
      <c r="D998" t="str">
        <f>IF('Clockify Raw'!A998="","",IF(LOWER('Clockify Raw'!A998)="break","Break","Work"))</f>
        <v/>
      </c>
      <c r="E998" t="str">
        <f>IF('Clockify Raw'!A998="","",IF(LOWER('Clockify Raw'!A998)="break","Break",IF('Clockify Raw'!C998&lt;&gt;"",'Clockify Raw'!C998,IF('Clockify Raw'!D998&lt;&gt;"",'Clockify Raw'!D998,'Clockify Raw'!A998))))</f>
        <v/>
      </c>
      <c r="F998" s="24" t="str">
        <f>IF('Clockify Raw'!O998="","",'Clockify Raw'!O998/24)</f>
        <v/>
      </c>
      <c r="G998" t="str">
        <f>IF(A998="","",COUNTIFS($A$2:$A$1000,A998,$B$2:$B$1000,"&lt;"&amp;B998)+COUNTIFS($A$2:A998,A998,$B$2:B998,B998))</f>
        <v/>
      </c>
      <c r="H998" t="str">
        <f t="shared" si="15"/>
        <v/>
      </c>
    </row>
    <row r="999" spans="1:8">
      <c r="A999" s="25" t="str">
        <f>IF('Clockify Raw'!J999="","",'Clockify Raw'!J999)</f>
        <v/>
      </c>
      <c r="B999" s="23" t="str">
        <f>IF('Clockify Raw'!K999="","",VALUE('Clockify Raw'!K999))</f>
        <v/>
      </c>
      <c r="C999" s="23" t="str">
        <f>IF('Clockify Raw'!M999="","",VALUE('Clockify Raw'!M999))</f>
        <v/>
      </c>
      <c r="D999" t="str">
        <f>IF('Clockify Raw'!A999="","",IF(LOWER('Clockify Raw'!A999)="break","Break","Work"))</f>
        <v/>
      </c>
      <c r="E999" t="str">
        <f>IF('Clockify Raw'!A999="","",IF(LOWER('Clockify Raw'!A999)="break","Break",IF('Clockify Raw'!C999&lt;&gt;"",'Clockify Raw'!C999,IF('Clockify Raw'!D999&lt;&gt;"",'Clockify Raw'!D999,'Clockify Raw'!A999))))</f>
        <v/>
      </c>
      <c r="F999" s="24" t="str">
        <f>IF('Clockify Raw'!O999="","",'Clockify Raw'!O999/24)</f>
        <v/>
      </c>
      <c r="G999" t="str">
        <f>IF(A999="","",COUNTIFS($A$2:$A$1000,A999,$B$2:$B$1000,"&lt;"&amp;B999)+COUNTIFS($A$2:A999,A999,$B$2:B999,B999))</f>
        <v/>
      </c>
      <c r="H999" t="str">
        <f t="shared" si="15"/>
        <v/>
      </c>
    </row>
    <row r="1000" spans="1:8">
      <c r="A1000" s="25" t="str">
        <f>IF('Clockify Raw'!J1000="","",'Clockify Raw'!J1000)</f>
        <v/>
      </c>
      <c r="B1000" s="23" t="str">
        <f>IF('Clockify Raw'!K1000="","",VALUE('Clockify Raw'!K1000))</f>
        <v/>
      </c>
      <c r="C1000" s="23" t="str">
        <f>IF('Clockify Raw'!M1000="","",VALUE('Clockify Raw'!M1000))</f>
        <v/>
      </c>
      <c r="D1000" t="str">
        <f>IF('Clockify Raw'!A1000="","",IF(LOWER('Clockify Raw'!A1000)="break","Break","Work"))</f>
        <v/>
      </c>
      <c r="E1000" t="str">
        <f>IF('Clockify Raw'!A1000="","",IF(LOWER('Clockify Raw'!A1000)="break","Break",IF('Clockify Raw'!C1000&lt;&gt;"",'Clockify Raw'!C1000,IF('Clockify Raw'!D1000&lt;&gt;"",'Clockify Raw'!D1000,'Clockify Raw'!A1000))))</f>
        <v/>
      </c>
      <c r="F1000" s="24" t="str">
        <f>IF('Clockify Raw'!O1000="","",'Clockify Raw'!O1000/24)</f>
        <v/>
      </c>
      <c r="G1000" t="str">
        <f>IF(A1000="","",COUNTIFS($A$2:$A$1000,A1000,$B$2:$B$1000,"&lt;"&amp;B1000)+COUNTIFS($A$2:A1000,A1000,$B$2:B1000,B1000))</f>
        <v/>
      </c>
      <c r="H1000" t="str">
        <f t="shared" si="15"/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Auto Timesheet</vt:lpstr>
      <vt:lpstr>Clockify Raw</vt:lpstr>
      <vt:lpstr>Clockify Helper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Ali Akbar</dc:creator>
  <cp:lastModifiedBy>Muhammad Fatir</cp:lastModifiedBy>
  <cp:lastPrinted>2024-07-04T08:24:48Z</cp:lastPrinted>
  <dcterms:created xsi:type="dcterms:W3CDTF">2024-07-01T17:30:22Z</dcterms:created>
  <dcterms:modified xsi:type="dcterms:W3CDTF">2026-08-24T16:48:47Z</dcterms:modified>
</cp:coreProperties>
</file>